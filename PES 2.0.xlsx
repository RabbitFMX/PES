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říspěvky do banku" sheetId="1" r:id="rId4"/>
    <sheet state="visible" name="týden R12" sheetId="2" r:id="rId5"/>
    <sheet state="visible" name="R12" sheetId="3" r:id="rId6"/>
    <sheet state="visible" name="R11" sheetId="4" r:id="rId7"/>
    <sheet state="visible" name="R10" sheetId="5" r:id="rId8"/>
    <sheet state="visible" name="R9" sheetId="6" r:id="rId9"/>
    <sheet state="visible" name="R8" sheetId="7" r:id="rId10"/>
    <sheet state="visible" name="R7" sheetId="8" r:id="rId11"/>
    <sheet state="visible" name="R6" sheetId="9" r:id="rId12"/>
    <sheet state="visible" name="R5" sheetId="10" r:id="rId13"/>
    <sheet state="visible" name="R4" sheetId="11" r:id="rId14"/>
    <sheet state="visible" name="R3" sheetId="12" r:id="rId15"/>
    <sheet state="visible" name="R1+R2" sheetId="13" r:id="rId16"/>
    <sheet state="visible" name="pravidla" sheetId="14" r:id="rId17"/>
    <sheet state="visible" name="List 5" sheetId="15" r:id="rId18"/>
  </sheets>
  <definedNames/>
  <calcPr/>
  <extLst>
    <ext uri="GoogleSheetsCustomDataVersion2">
      <go:sheetsCustomData xmlns:go="http://customooxmlschemas.google.com/" r:id="rId19" roundtripDataChecksum="ukBxdMJSYOXvYw++69DQ6uC/JM6EKEIA+85wS58fXQ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">
      <text>
        <t xml:space="preserve">======
ID#AAAB-kkYJHI
Ondřej Hotový    (2026-06-25 21:02:00)
placeno</t>
      </text>
    </comment>
  </commentList>
  <extLst>
    <ext uri="GoogleSheetsCustomDataVersion2">
      <go:sheetsCustomData xmlns:go="http://customooxmlschemas.google.com/" r:id="rId1" roundtripDataSignature="AMtx7mhuRzVakPjyv1m9VThRHioKDBs97Q=="/>
    </ext>
  </extLst>
</comments>
</file>

<file path=xl/sharedStrings.xml><?xml version="1.0" encoding="utf-8"?>
<sst xmlns="http://schemas.openxmlformats.org/spreadsheetml/2006/main" count="1735" uniqueCount="453">
  <si>
    <t>Ondřej</t>
  </si>
  <si>
    <t>Bára</t>
  </si>
  <si>
    <t>Kinky</t>
  </si>
  <si>
    <t>Jenda</t>
  </si>
  <si>
    <t>Aleš</t>
  </si>
  <si>
    <t>Katka</t>
  </si>
  <si>
    <t>Petra</t>
  </si>
  <si>
    <t>Tryznič</t>
  </si>
  <si>
    <t>Roman</t>
  </si>
  <si>
    <t>Handlík</t>
  </si>
  <si>
    <t>Krista</t>
  </si>
  <si>
    <t>Veru</t>
  </si>
  <si>
    <t>Chochy</t>
  </si>
  <si>
    <t>Zbyněk</t>
  </si>
  <si>
    <t>Páša</t>
  </si>
  <si>
    <t>Markéta</t>
  </si>
  <si>
    <t>Sascha</t>
  </si>
  <si>
    <t>Petr</t>
  </si>
  <si>
    <t>Terka</t>
  </si>
  <si>
    <t>Vojta</t>
  </si>
  <si>
    <t>Vít</t>
  </si>
  <si>
    <t>Šimpy</t>
  </si>
  <si>
    <t>Lucka</t>
  </si>
  <si>
    <t>Lenka</t>
  </si>
  <si>
    <t>Katka K.</t>
  </si>
  <si>
    <t>R11</t>
  </si>
  <si>
    <t>-</t>
  </si>
  <si>
    <t>R10</t>
  </si>
  <si>
    <t>R9</t>
  </si>
  <si>
    <t>total</t>
  </si>
  <si>
    <t>total total</t>
  </si>
  <si>
    <r>
      <rPr>
        <rFont val="Calibri"/>
        <b/>
        <color rgb="FF000000"/>
        <sz val="14.0"/>
      </rPr>
      <t>PES</t>
    </r>
    <r>
      <rPr>
        <rFont val="Calibri"/>
        <b/>
        <color rgb="FF000000"/>
        <sz val="14.0"/>
      </rPr>
      <t xml:space="preserve"> - </t>
    </r>
    <r>
      <rPr>
        <rFont val="Calibri"/>
        <b/>
        <color rgb="FF000000"/>
        <sz val="14.0"/>
      </rPr>
      <t>P</t>
    </r>
    <r>
      <rPr>
        <rFont val="Calibri"/>
        <b/>
        <color rgb="FF000000"/>
        <sz val="14.0"/>
      </rPr>
      <t xml:space="preserve">rostě </t>
    </r>
    <r>
      <rPr>
        <rFont val="Calibri"/>
        <b/>
        <color rgb="FF000000"/>
        <sz val="14.0"/>
      </rPr>
      <t>E</t>
    </r>
    <r>
      <rPr>
        <rFont val="Calibri"/>
        <b/>
        <color rgb="FF000000"/>
        <sz val="14.0"/>
      </rPr>
      <t xml:space="preserve">normně </t>
    </r>
    <r>
      <rPr>
        <rFont val="Calibri"/>
        <b/>
        <color rgb="FF000000"/>
        <sz val="14.0"/>
      </rPr>
      <t>S</t>
    </r>
    <r>
      <rPr>
        <rFont val="Calibri"/>
        <b/>
        <color rgb="FF000000"/>
        <sz val="14.0"/>
      </rPr>
      <t>exy)</t>
    </r>
  </si>
  <si>
    <t>Smečka A (gauč)</t>
  </si>
  <si>
    <t>Smečka B (bouda)</t>
  </si>
  <si>
    <t>aktivita</t>
  </si>
  <si>
    <t>bodování</t>
  </si>
  <si>
    <t>body navíc + doplňující info</t>
  </si>
  <si>
    <t>Katka V.</t>
  </si>
  <si>
    <t>běh</t>
  </si>
  <si>
    <t>3b/1km</t>
  </si>
  <si>
    <r>
      <rPr>
        <rFont val="Calibri"/>
        <b/>
        <color rgb="FF000000"/>
        <sz val="11.0"/>
      </rPr>
      <t>převýšení:</t>
    </r>
    <r>
      <rPr>
        <rFont val="Calibri"/>
        <color rgb="FF000000"/>
        <sz val="11.0"/>
      </rPr>
      <t xml:space="preserve"> 1.5b/50m, 2.5b/50m s kočárem</t>
    </r>
  </si>
  <si>
    <t>túra</t>
  </si>
  <si>
    <t>1.5b/1km</t>
  </si>
  <si>
    <r>
      <rPr>
        <rFont val="Calibri"/>
        <b/>
        <color rgb="FF000000"/>
        <sz val="11.0"/>
      </rPr>
      <t>převýšení</t>
    </r>
    <r>
      <rPr>
        <rFont val="Calibri"/>
        <color rgb="FF000000"/>
        <sz val="11.0"/>
      </rPr>
      <t>: 1b/50m; dítě v nosítku: 2b/1km, 2b/50m s kočárem</t>
    </r>
  </si>
  <si>
    <t>plavání</t>
  </si>
  <si>
    <t>15b/1km</t>
  </si>
  <si>
    <t>paddleboard</t>
  </si>
  <si>
    <t>4.5b/1km</t>
  </si>
  <si>
    <t>kayak, canoe</t>
  </si>
  <si>
    <t>1.5b-2.5/1km</t>
  </si>
  <si>
    <t>dle toho, jak to teče: 1.5b (divoká) - 2.5b (stojatá)</t>
  </si>
  <si>
    <t>kolečkové brusle, koloběžka</t>
  </si>
  <si>
    <t>1.25b/1km</t>
  </si>
  <si>
    <r>
      <rPr>
        <rFont val="Calibri"/>
        <b/>
        <color rgb="FF000000"/>
        <sz val="11.0"/>
      </rPr>
      <t>převýšení:</t>
    </r>
    <r>
      <rPr>
        <rFont val="Calibri"/>
        <color rgb="FF000000"/>
        <sz val="11.0"/>
      </rPr>
      <t xml:space="preserve"> 1.5b/50m, 2.5b/50m s kočárem (u bruslí)</t>
    </r>
  </si>
  <si>
    <t>kolo různé</t>
  </si>
  <si>
    <t>0.7b-1.5b/1km</t>
  </si>
  <si>
    <r>
      <rPr>
        <rFont val="Calibri"/>
        <b/>
        <color rgb="FF000000"/>
        <sz val="11.0"/>
      </rPr>
      <t>převýšení:</t>
    </r>
    <r>
      <rPr>
        <rFont val="Calibri"/>
        <color rgb="FF000000"/>
        <sz val="11.0"/>
      </rPr>
      <t xml:space="preserve"> 1b/50m, 2b/50m s kočárem; </t>
    </r>
    <r>
      <rPr>
        <rFont val="Calibri"/>
        <b/>
        <color rgb="FF000000"/>
        <sz val="11.0"/>
      </rPr>
      <t>dle typu</t>
    </r>
    <r>
      <rPr>
        <rFont val="Calibri"/>
        <color rgb="FF000000"/>
        <sz val="11.0"/>
      </rPr>
      <t>: 0.7b silnička; 0.75b gravel, cyklokros, trek; 1b MTB, 1.5b s kočárem</t>
    </r>
  </si>
  <si>
    <t>kolo různé (viz info)</t>
  </si>
  <si>
    <t>běžky</t>
  </si>
  <si>
    <t>1.5b/km</t>
  </si>
  <si>
    <r>
      <rPr>
        <rFont val="Calibri"/>
        <b/>
        <color rgb="FF000000"/>
        <sz val="11.0"/>
      </rPr>
      <t>převýšení:</t>
    </r>
    <r>
      <rPr>
        <rFont val="Calibri"/>
        <color rgb="FF000000"/>
        <sz val="11.0"/>
      </rPr>
      <t xml:space="preserve"> 1.5b/50m, 3b/1km s kočárem</t>
    </r>
  </si>
  <si>
    <t>skialpy</t>
  </si>
  <si>
    <t>2b/1km</t>
  </si>
  <si>
    <r>
      <rPr>
        <rFont val="Calibri"/>
        <b/>
        <color rgb="FF000000"/>
        <sz val="11.0"/>
      </rPr>
      <t>převýšení:</t>
    </r>
    <r>
      <rPr>
        <rFont val="Calibri"/>
        <color rgb="FF000000"/>
        <sz val="11.0"/>
      </rPr>
      <t xml:space="preserve"> 1.5b/50m</t>
    </r>
  </si>
  <si>
    <t>lyže/snowboard</t>
  </si>
  <si>
    <t>0.5b/1km</t>
  </si>
  <si>
    <t>včetně km z lanovky</t>
  </si>
  <si>
    <t>tabata</t>
  </si>
  <si>
    <t>4b/1ks</t>
  </si>
  <si>
    <t>https://www.youtube.com/watch?v=aUYRVSNz_VY</t>
  </si>
  <si>
    <t>plank Sally</t>
  </si>
  <si>
    <t>8b/1ks</t>
  </si>
  <si>
    <t>https://www.youtube.com/watch?v=rACy-0g1CuY</t>
  </si>
  <si>
    <t>plank classic</t>
  </si>
  <si>
    <t>2b/1min</t>
  </si>
  <si>
    <t>kliky</t>
  </si>
  <si>
    <t>1b/10ks</t>
  </si>
  <si>
    <t>mohou být i holčičí</t>
  </si>
  <si>
    <t>dřepy</t>
  </si>
  <si>
    <t>sedy/lehy</t>
  </si>
  <si>
    <t>1b/15ks</t>
  </si>
  <si>
    <t>možno zařadit i jiné cviky na břicho, hodnocení po konzultaci</t>
  </si>
  <si>
    <t>mountain climber</t>
  </si>
  <si>
    <t>1ks = 1 pohyb nohy</t>
  </si>
  <si>
    <t>výpady</t>
  </si>
  <si>
    <t>5+5ks na každou nohu</t>
  </si>
  <si>
    <t>zvedání pánve</t>
  </si>
  <si>
    <t>1b/25ks</t>
  </si>
  <si>
    <t>angličáky bez kliku</t>
  </si>
  <si>
    <t>angličáky s klikem</t>
  </si>
  <si>
    <t>1b/7ks</t>
  </si>
  <si>
    <t>sklapovačky</t>
  </si>
  <si>
    <t>shyby</t>
  </si>
  <si>
    <t>1b/4ks</t>
  </si>
  <si>
    <t>dipy bradla</t>
  </si>
  <si>
    <t>skrčky nohou bradla</t>
  </si>
  <si>
    <t>pozdrav Slunci</t>
  </si>
  <si>
    <t>2b/1ks</t>
  </si>
  <si>
    <t>cvičení různé</t>
  </si>
  <si>
    <t>5b/10b/15b/30min</t>
  </si>
  <si>
    <r>
      <rPr>
        <rFont val="Calibri"/>
        <color rgb="FF000000"/>
        <sz val="11.0"/>
      </rPr>
      <t xml:space="preserve">zahrnuje skupinové lekce, posilka, jóga, fitbox aj.; </t>
    </r>
    <r>
      <rPr>
        <rFont val="Calibri"/>
        <b/>
        <color rgb="FF000000"/>
        <sz val="11.0"/>
      </rPr>
      <t xml:space="preserve">body uvážit dle námahy </t>
    </r>
    <r>
      <rPr>
        <rFont val="Calibri"/>
        <color rgb="FF000000"/>
        <sz val="11.0"/>
      </rPr>
      <t>(případná konzultace)</t>
    </r>
  </si>
  <si>
    <t>švihadlo</t>
  </si>
  <si>
    <t>1b/60s</t>
  </si>
  <si>
    <t>sporty různé</t>
  </si>
  <si>
    <r>
      <rPr>
        <rFont val="Calibri"/>
        <b/>
        <color rgb="FF000000"/>
        <sz val="11.0"/>
      </rPr>
      <t>body uvážit dle námahy</t>
    </r>
    <r>
      <rPr>
        <rFont val="Calibri"/>
        <color rgb="FF000000"/>
        <sz val="11.0"/>
      </rPr>
      <t xml:space="preserve"> (případná konzultace)</t>
    </r>
  </si>
  <si>
    <t>body STRAVA</t>
  </si>
  <si>
    <t>1b-30b</t>
  </si>
  <si>
    <r>
      <rPr>
        <rFont val="Calibri"/>
        <color rgb="FF000000"/>
        <sz val="11.0"/>
      </rPr>
      <t xml:space="preserve">počet sportovců/kyň na segmentu / moje umístění na segmentu, </t>
    </r>
    <r>
      <rPr>
        <rFont val="Calibri"/>
        <b/>
        <color rgb="FF000000"/>
        <sz val="11.0"/>
      </rPr>
      <t>max však 30b za týden</t>
    </r>
    <r>
      <rPr>
        <rFont val="Calibri"/>
        <color rgb="FF000000"/>
        <sz val="11.0"/>
      </rPr>
      <t>, při vylepšení odečet</t>
    </r>
  </si>
  <si>
    <t>body ZÁVOD</t>
  </si>
  <si>
    <t>30b</t>
  </si>
  <si>
    <t>za účast bez rozdílu umístění atd.</t>
  </si>
  <si>
    <t>body výzva (jen pro Ondru)</t>
  </si>
  <si>
    <t>10b/20b/30b</t>
  </si>
  <si>
    <t>viz pravidla</t>
  </si>
  <si>
    <t>fenčí koeficient</t>
  </si>
  <si>
    <t>týdenní skóre</t>
  </si>
  <si>
    <t xml:space="preserve">hodnoty do výzvy (pro účastníky) </t>
  </si>
  <si>
    <t>reklam..aqa</t>
  </si>
  <si>
    <t>týden</t>
  </si>
  <si>
    <t>0 (06/29 - 07/12)</t>
  </si>
  <si>
    <t>nesplněný trest</t>
  </si>
  <si>
    <t>splněný trest</t>
  </si>
  <si>
    <t>omluveno</t>
  </si>
  <si>
    <t>odečet 3 nejhorších</t>
  </si>
  <si>
    <r>
      <rPr>
        <rFont val="Calibri"/>
        <color rgb="FF000000"/>
        <sz val="11.0"/>
      </rPr>
      <t>23</t>
    </r>
    <r>
      <rPr>
        <rFont val="Calibri"/>
        <b/>
        <color rgb="FFFF0000"/>
        <sz val="11.0"/>
      </rPr>
      <t xml:space="preserve"> (konec: 12/20)</t>
    </r>
  </si>
  <si>
    <t>VÝZVA</t>
  </si>
  <si>
    <t>SUMA HRUBÁ</t>
  </si>
  <si>
    <t>PRŮMĚR</t>
  </si>
  <si>
    <t>ODEČET</t>
  </si>
  <si>
    <t>PES DRŽÁK</t>
  </si>
  <si>
    <t>SUMA ČISTÁ</t>
  </si>
  <si>
    <t>POŘADÍ</t>
  </si>
  <si>
    <t>DO KASY TRESTY</t>
  </si>
  <si>
    <t>DO KASY POŘADÍ</t>
  </si>
  <si>
    <t>DO KASY CELKEM</t>
  </si>
  <si>
    <t>CELKEM V PES KASE</t>
  </si>
  <si>
    <t>vítěz</t>
  </si>
  <si>
    <t>hodnota</t>
  </si>
  <si>
    <t>VÝZVY</t>
  </si>
  <si>
    <t>zadavatel</t>
  </si>
  <si>
    <t>popis výzvy</t>
  </si>
  <si>
    <t>0 (12/22 - 01/04)</t>
  </si>
  <si>
    <t>wall sit</t>
  </si>
  <si>
    <t>jóga</t>
  </si>
  <si>
    <t>míčové sporty</t>
  </si>
  <si>
    <t>zelenina</t>
  </si>
  <si>
    <t>Katka, Petra, Markéta</t>
  </si>
  <si>
    <t>silový trénink</t>
  </si>
  <si>
    <t>kliky na jedné ruce</t>
  </si>
  <si>
    <t>cviky na břicho</t>
  </si>
  <si>
    <t>sbirani vrcholu</t>
  </si>
  <si>
    <t>Bara</t>
  </si>
  <si>
    <t>kolo</t>
  </si>
  <si>
    <t>zdravit cizi lidi</t>
  </si>
  <si>
    <t>sport s rodinou, kamarady</t>
  </si>
  <si>
    <t>více lidí</t>
  </si>
  <si>
    <t>odpálit stehna</t>
  </si>
  <si>
    <t>muži vs. ženy</t>
  </si>
  <si>
    <t>ženy feny</t>
  </si>
  <si>
    <t>debakl</t>
  </si>
  <si>
    <t>letni sporty</t>
  </si>
  <si>
    <t>Aleś</t>
  </si>
  <si>
    <t>kroky</t>
  </si>
  <si>
    <t>výdrž pod vodou</t>
  </si>
  <si>
    <t>Everesting</t>
  </si>
  <si>
    <t>Ondřej, Šimpy</t>
  </si>
  <si>
    <r>
      <rPr>
        <rFont val="Calibri"/>
        <color rgb="FF000000"/>
        <sz val="11.0"/>
      </rPr>
      <t xml:space="preserve">24 </t>
    </r>
    <r>
      <rPr>
        <rFont val="Calibri"/>
        <b/>
        <color rgb="FFFF0000"/>
        <sz val="11.0"/>
      </rPr>
      <t>(konec: 06/21)</t>
    </r>
  </si>
  <si>
    <t xml:space="preserve">Ondřej </t>
  </si>
  <si>
    <t>0 (1. - 13.7.)</t>
  </si>
  <si>
    <t>test pravidla</t>
  </si>
  <si>
    <t>sporty</t>
  </si>
  <si>
    <t>modrý život</t>
  </si>
  <si>
    <t>Ondřej, Kinky, Šimpy</t>
  </si>
  <si>
    <t>7 dní</t>
  </si>
  <si>
    <t>plank max</t>
  </si>
  <si>
    <t>kraje a okresy</t>
  </si>
  <si>
    <t>nejlepší fotka</t>
  </si>
  <si>
    <t>18b</t>
  </si>
  <si>
    <t>cyklo+dřepy+angličáky</t>
  </si>
  <si>
    <t>sundat triko na hrazdě</t>
  </si>
  <si>
    <t>22s</t>
  </si>
  <si>
    <t>relax</t>
  </si>
  <si>
    <t>500m nejrychleji</t>
  </si>
  <si>
    <t>51min</t>
  </si>
  <si>
    <t>švihadlo 15s</t>
  </si>
  <si>
    <t>50x</t>
  </si>
  <si>
    <t>otužování</t>
  </si>
  <si>
    <t>45s</t>
  </si>
  <si>
    <t>tura+abstinence</t>
  </si>
  <si>
    <t>61,5</t>
  </si>
  <si>
    <t xml:space="preserve">co nejvíc políček </t>
  </si>
  <si>
    <t>čtení</t>
  </si>
  <si>
    <t>cviky s zidli</t>
  </si>
  <si>
    <t>co nejvic ovoce</t>
  </si>
  <si>
    <t>nejezdit výtahem</t>
  </si>
  <si>
    <t>probiotická výživa</t>
  </si>
  <si>
    <t>7x</t>
  </si>
  <si>
    <t>PES tracking</t>
  </si>
  <si>
    <t>4.3km</t>
  </si>
  <si>
    <t>příklady</t>
  </si>
  <si>
    <t>15b</t>
  </si>
  <si>
    <r>
      <rPr>
        <rFont val="Calibri"/>
        <color rgb="FF000000"/>
        <sz val="11.0"/>
      </rPr>
      <t xml:space="preserve">23 </t>
    </r>
    <r>
      <rPr>
        <rFont val="Calibri"/>
        <b/>
        <color rgb="FFFF0000"/>
        <sz val="11.0"/>
      </rPr>
      <t>(konec 21.12.)</t>
    </r>
  </si>
  <si>
    <r>
      <rPr>
        <rFont val="Calibri"/>
        <color rgb="FF000000"/>
        <sz val="11.0"/>
      </rPr>
      <t xml:space="preserve">24 </t>
    </r>
    <r>
      <rPr>
        <rFont val="Calibri"/>
        <b/>
        <color rgb="FFFF0000"/>
        <sz val="11.0"/>
      </rPr>
      <t>(konec 30.6.)</t>
    </r>
  </si>
  <si>
    <t>medián</t>
  </si>
  <si>
    <t>na stroji</t>
  </si>
  <si>
    <t>kolo+běžky</t>
  </si>
  <si>
    <t>1000 kliků</t>
  </si>
  <si>
    <t>triatlon</t>
  </si>
  <si>
    <t>sedy/lehy, sklapovačky, planky</t>
  </si>
  <si>
    <t>regenerace</t>
  </si>
  <si>
    <t>Bára, Vojta</t>
  </si>
  <si>
    <t>zvedlé tuny</t>
  </si>
  <si>
    <t>klik na jedné ruce</t>
  </si>
  <si>
    <t>Ondřej, Katka</t>
  </si>
  <si>
    <t>běh (max tempo, body)</t>
  </si>
  <si>
    <t>2:10, 224</t>
  </si>
  <si>
    <t>tepovka 170+</t>
  </si>
  <si>
    <t>Jenda, Sascha, Markéta, Krista</t>
  </si>
  <si>
    <t>6x</t>
  </si>
  <si>
    <t>zdravá strava vs. Chlastání</t>
  </si>
  <si>
    <t>žabáci</t>
  </si>
  <si>
    <t>Lucka, Bára</t>
  </si>
  <si>
    <t>dýchání minuty</t>
  </si>
  <si>
    <t>sex</t>
  </si>
  <si>
    <t>132k</t>
  </si>
  <si>
    <t>kolo, brusle</t>
  </si>
  <si>
    <t>dobré skutky</t>
  </si>
  <si>
    <r>
      <rPr>
        <rFont val="Calibri"/>
        <color rgb="FF000000"/>
        <sz val="11.0"/>
      </rPr>
      <t>24</t>
    </r>
    <r>
      <rPr>
        <rFont val="Calibri"/>
        <b/>
        <color rgb="FFFF0000"/>
        <sz val="11.0"/>
      </rPr>
      <t xml:space="preserve"> (konec 30.6.)</t>
    </r>
  </si>
  <si>
    <t>Raf</t>
  </si>
  <si>
    <t>nemoc</t>
  </si>
  <si>
    <t>posláno Jardovi</t>
  </si>
  <si>
    <t>za 30b</t>
  </si>
  <si>
    <t>za 20b</t>
  </si>
  <si>
    <t>za 10b</t>
  </si>
  <si>
    <t>8b kolonky</t>
  </si>
  <si>
    <t>Ondřej, Petr</t>
  </si>
  <si>
    <t>kol.brusle, koloběžka</t>
  </si>
  <si>
    <t>schody</t>
  </si>
  <si>
    <t>fotky seznamovačka</t>
  </si>
  <si>
    <t>skoro všichni</t>
  </si>
  <si>
    <t>skrz okresy</t>
  </si>
  <si>
    <t>Ondřej, Kinky</t>
  </si>
  <si>
    <t>túra+voda+beach</t>
  </si>
  <si>
    <t>dřepy+výpady+angličáky+kolo</t>
  </si>
  <si>
    <t>raketové sporty</t>
  </si>
  <si>
    <t>175,5</t>
  </si>
  <si>
    <t>dřepy za den</t>
  </si>
  <si>
    <t>hod se do klidu (joga+otužování)</t>
  </si>
  <si>
    <t>Ondřej, Vítek, Jenda, Handlík, Chochy</t>
  </si>
  <si>
    <t>4km plavání</t>
  </si>
  <si>
    <t>aktivity s parťákama</t>
  </si>
  <si>
    <t>3 nové aktivity</t>
  </si>
  <si>
    <t>Ondřej, Tryznič</t>
  </si>
  <si>
    <t>ponožky ve svíčce</t>
  </si>
  <si>
    <t>7s</t>
  </si>
  <si>
    <t>km běh, chůze, běžky pá-ne</t>
  </si>
  <si>
    <t>bobusové body</t>
  </si>
  <si>
    <t>Ivoš</t>
  </si>
  <si>
    <t>Horny</t>
  </si>
  <si>
    <t>Honza</t>
  </si>
  <si>
    <t>plank</t>
  </si>
  <si>
    <t>dřepy na jedné noze</t>
  </si>
  <si>
    <t>předklon v cm</t>
  </si>
  <si>
    <t>kolonky</t>
  </si>
  <si>
    <t>Šimpy, Aleš</t>
  </si>
  <si>
    <t>toaleťák</t>
  </si>
  <si>
    <t xml:space="preserve">Chochy </t>
  </si>
  <si>
    <t>46s</t>
  </si>
  <si>
    <t>5km</t>
  </si>
  <si>
    <t>nová místa</t>
  </si>
  <si>
    <t>Kinky, Tryznič</t>
  </si>
  <si>
    <t>angličáky</t>
  </si>
  <si>
    <t>kliky+dřepy+shyby</t>
  </si>
  <si>
    <t>výdrž stoj na rukou</t>
  </si>
  <si>
    <t>Roman, Vojta</t>
  </si>
  <si>
    <t>běh+chůze</t>
  </si>
  <si>
    <t>břišáky</t>
  </si>
  <si>
    <t>točení baskeťáku</t>
  </si>
  <si>
    <t>kliky na 1 zátah</t>
  </si>
  <si>
    <t>vodní sporty</t>
  </si>
  <si>
    <t>každý den 15b</t>
  </si>
  <si>
    <t>chytání toaleťáku</t>
  </si>
  <si>
    <t>výškové metry</t>
  </si>
  <si>
    <t>Pavel</t>
  </si>
  <si>
    <t>Honza W.</t>
  </si>
  <si>
    <t>Honza Š.</t>
  </si>
  <si>
    <t>vrcholy</t>
  </si>
  <si>
    <t>Šimpy, Roman</t>
  </si>
  <si>
    <t>plechovka</t>
  </si>
  <si>
    <t>strava obrazce</t>
  </si>
  <si>
    <t>píča</t>
  </si>
  <si>
    <t>triko na hrazdě</t>
  </si>
  <si>
    <t>164,5</t>
  </si>
  <si>
    <t>Honza Š</t>
  </si>
  <si>
    <t>41,25</t>
  </si>
  <si>
    <t>hlavičky</t>
  </si>
  <si>
    <t>stojka</t>
  </si>
  <si>
    <t>8s</t>
  </si>
  <si>
    <t xml:space="preserve"> Veru</t>
  </si>
  <si>
    <t>aktivity nad 20</t>
  </si>
  <si>
    <t>200m</t>
  </si>
  <si>
    <t>100m po jedné noze</t>
  </si>
  <si>
    <t>28s</t>
  </si>
  <si>
    <t>účast na závodech</t>
  </si>
  <si>
    <t>šihadlo střídavě</t>
  </si>
  <si>
    <t>1500m</t>
  </si>
  <si>
    <t>kliky vkuse</t>
  </si>
  <si>
    <t>tleskání</t>
  </si>
  <si>
    <t>sedy lehy</t>
  </si>
  <si>
    <t>hod koulí</t>
  </si>
  <si>
    <t>Ondřej, Kinky, Šimpy (sdílené 1.místo)</t>
  </si>
  <si>
    <t>běh+běžky</t>
  </si>
  <si>
    <t>pivo na ex</t>
  </si>
  <si>
    <t>5,34</t>
  </si>
  <si>
    <t>holubice poslepu</t>
  </si>
  <si>
    <t>60s</t>
  </si>
  <si>
    <t>stromy</t>
  </si>
  <si>
    <t>Ales</t>
  </si>
  <si>
    <t>150 kliků</t>
  </si>
  <si>
    <t>666 schodů</t>
  </si>
  <si>
    <t>přeskoky přes švihadlo</t>
  </si>
  <si>
    <t>panenky</t>
  </si>
  <si>
    <t>12 minut běhu</t>
  </si>
  <si>
    <t>2,700m</t>
  </si>
  <si>
    <t>balanc kolo</t>
  </si>
  <si>
    <t>otočky</t>
  </si>
  <si>
    <t>Vítek</t>
  </si>
  <si>
    <t>5,409m</t>
  </si>
  <si>
    <t>otočka s botou</t>
  </si>
  <si>
    <t>vodní body</t>
  </si>
  <si>
    <t>67,5</t>
  </si>
  <si>
    <t>variabilita aktivit</t>
  </si>
  <si>
    <t>Ondřej, Vít</t>
  </si>
  <si>
    <t>platící hráči</t>
  </si>
  <si>
    <t>24 (dobrovolný)</t>
  </si>
  <si>
    <t>dopřávající si hráči</t>
  </si>
  <si>
    <t>suma</t>
  </si>
  <si>
    <t>průměrně</t>
  </si>
  <si>
    <t>pořadí</t>
  </si>
  <si>
    <t>před odečtem</t>
  </si>
  <si>
    <t>dvojice</t>
  </si>
  <si>
    <t>body za pohárky (Strava) za běh</t>
  </si>
  <si>
    <t xml:space="preserve">sundavání ponožek </t>
  </si>
  <si>
    <t>10s</t>
  </si>
  <si>
    <t>nandavání trika</t>
  </si>
  <si>
    <t>8.5s</t>
  </si>
  <si>
    <t>vzpor ležmo</t>
  </si>
  <si>
    <t>42min</t>
  </si>
  <si>
    <t>túra + vrcholy</t>
  </si>
  <si>
    <t>triatlon (plavání+kolo+běh)</t>
  </si>
  <si>
    <t xml:space="preserve">dřepy </t>
  </si>
  <si>
    <t xml:space="preserve">pozdrav Slunci </t>
  </si>
  <si>
    <t xml:space="preserve">Terka </t>
  </si>
  <si>
    <t>skok daleký snožmo</t>
  </si>
  <si>
    <t>kilometry na kole</t>
  </si>
  <si>
    <t>hod vleže toaleťákem</t>
  </si>
  <si>
    <t>9s</t>
  </si>
  <si>
    <t>Ondřeh</t>
  </si>
  <si>
    <t xml:space="preserve">výpady </t>
  </si>
  <si>
    <t>vajíčka švihadlo</t>
  </si>
  <si>
    <t xml:space="preserve">Vít </t>
  </si>
  <si>
    <t>Šimpy, Kinky</t>
  </si>
  <si>
    <t>4s</t>
  </si>
  <si>
    <t>Kolda</t>
  </si>
  <si>
    <t>Míša</t>
  </si>
  <si>
    <t>Tomáš</t>
  </si>
  <si>
    <t>Míša D.</t>
  </si>
  <si>
    <t>Martina</t>
  </si>
  <si>
    <t>Mari</t>
  </si>
  <si>
    <t>Kubáč</t>
  </si>
  <si>
    <t>resty tresty</t>
  </si>
  <si>
    <t>výdrž ve visu</t>
  </si>
  <si>
    <t>bobek na rukou</t>
  </si>
  <si>
    <t>10 aktivit</t>
  </si>
  <si>
    <t>11 aktivit, 307 bodů</t>
  </si>
  <si>
    <t>stoj na jedné noze v pozici stromu</t>
  </si>
  <si>
    <t xml:space="preserve">Martina </t>
  </si>
  <si>
    <t>Míša K.</t>
  </si>
  <si>
    <t>magic 15</t>
  </si>
  <si>
    <t>15 aktivit</t>
  </si>
  <si>
    <t>ponor pod vodu</t>
  </si>
  <si>
    <t>nožičky s toaleťákem</t>
  </si>
  <si>
    <t>hrady, tvrze, vyhlídky</t>
  </si>
  <si>
    <t>nespočet</t>
  </si>
  <si>
    <t>cviky břicho</t>
  </si>
  <si>
    <t>jóga stoj</t>
  </si>
  <si>
    <t>udržet nohy</t>
  </si>
  <si>
    <t xml:space="preserve">Kinky </t>
  </si>
  <si>
    <t>cviky prsa</t>
  </si>
  <si>
    <t>sed proti zdi</t>
  </si>
  <si>
    <t>výškové metry chůze/běh</t>
  </si>
  <si>
    <t>výškové metry kolo</t>
  </si>
  <si>
    <t>leh s koštětem</t>
  </si>
  <si>
    <t>4 sek.</t>
  </si>
  <si>
    <t>pyramida z toaleťáků</t>
  </si>
  <si>
    <t xml:space="preserve">20 sek. </t>
  </si>
  <si>
    <t>Verča</t>
  </si>
  <si>
    <t>období</t>
  </si>
  <si>
    <t>počet týdnů</t>
  </si>
  <si>
    <t>účastníci - body (vyhrané výzvy)</t>
  </si>
  <si>
    <t>1H 2021</t>
  </si>
  <si>
    <t>Kinky - 4612b; Ondřej - 3710.5b; Veru - 3126.5b; Kolda - 3215b; Míša - 2854b; Janča - 2662.5b</t>
  </si>
  <si>
    <t>2H 2021</t>
  </si>
  <si>
    <t>Kinky - 4374.5 (6); Ondřej - 3621.5b (2); Veru - 2796b (3.67); Šimpy - 2465.5b (4.5); Ivoš - 2433.5b (1.67); Míša - 2393b (0.67); Chochy - 2271.5b (1.17); Kolda - 2220.5b (1); Handlík - 1596.5b (1.17)</t>
  </si>
  <si>
    <r>
      <rPr>
        <rFont val="Calibri"/>
        <color rgb="FF000000"/>
        <sz val="11.0"/>
      </rPr>
      <t xml:space="preserve">hodnocení skóre probíhá vždy 1x týdně, vždy v neděli večer (deadline pro zadávání </t>
    </r>
    <r>
      <rPr>
        <rFont val="Calibri"/>
        <b/>
        <color rgb="FF000000"/>
        <sz val="11.0"/>
      </rPr>
      <t>neděle 21:00!!!</t>
    </r>
    <r>
      <rPr>
        <rFont val="Calibri"/>
        <color rgb="FF000000"/>
        <sz val="11.0"/>
      </rPr>
      <t>) - trest za pozdní zápis (30 Kč)</t>
    </r>
  </si>
  <si>
    <t>všechny body zadávat pokud možno okamžitě po výkonu</t>
  </si>
  <si>
    <t>výkony ideálně pro kontrolu někde sdílet (Strava apod.), není to ale podmínkou</t>
  </si>
  <si>
    <t>konkrétní tresty a odměny jsou popsány níže</t>
  </si>
  <si>
    <t>trest z proběhlého týdne je třeba plnit hned týden následující, jinak se příspěvek do kasy opakuje, dokud není trest splněn</t>
  </si>
  <si>
    <t>každý zadává sportovní aktivity poctivě, pravdivě a pokud možno ihned, hodnotou pod své jméno do listu "týden R10"</t>
  </si>
  <si>
    <t>každý se snaží dosáhnout co nejvyššího skóre v průběhu týdne, ideálně nad 100 a vyhnout se tak trestům / příspěvkům</t>
  </si>
  <si>
    <t>hodnoty jednotlivých aktivit je po diskuzi možné upravovat</t>
  </si>
  <si>
    <t>hodnoty se sčítají do dlouhodobější (půlroční) soutěže a určují celkové pořadí</t>
  </si>
  <si>
    <t>je vítáno navrhovat další aktivity a jejich hodnocení</t>
  </si>
  <si>
    <t xml:space="preserve">nemoc či zranění je uznáno jako důvod pro vyhnutí se trestům po dobu nezbytně nutnou - je potřeba to oznámit a tribunál dá svolení </t>
  </si>
  <si>
    <t>na konci kola budou každému škrtnuta 3 nejhorší týdenní skóre (mimo 0. týden)</t>
  </si>
  <si>
    <t>účastníci se střídají v zadávání výzev (zadávat na listu "R10" nebo do whatsapp skupiny ideálně do nedělních 21:00, jinak výhoda volby propadá), bonus inkasuje 1. (30b), 2. (20b) a 3. (10b), pokud není zadáno jinak</t>
  </si>
  <si>
    <t>startovní pole je rozdělené do dvou výkonnostních skupin, přičemž na konci kola tři nejhorší z A skupiny sestupují, 3 nejlepší z B skupiny postupují</t>
  </si>
  <si>
    <t>tresty</t>
  </si>
  <si>
    <t>za nesplnění týdenních 100b - trest dle sezóny + příspěvek do kasy</t>
  </si>
  <si>
    <r>
      <rPr>
        <rFont val="Calibri"/>
        <b/>
        <color rgb="FF000000"/>
        <sz val="11.0"/>
      </rPr>
      <t>zimní sezóna</t>
    </r>
    <r>
      <rPr>
        <rFont val="Calibri"/>
        <color rgb="FF000000"/>
        <sz val="11.0"/>
      </rPr>
      <t xml:space="preserve"> (listopad - březen) - </t>
    </r>
    <r>
      <rPr>
        <rFont val="Calibri"/>
        <b/>
        <color rgb="FF000000"/>
        <sz val="11.0"/>
      </rPr>
      <t>studená sprcha, rybník</t>
    </r>
    <r>
      <rPr>
        <rFont val="Calibri"/>
        <color rgb="FF000000"/>
        <sz val="11.0"/>
      </rPr>
      <t xml:space="preserve"> (+ foto/video dokumentace)</t>
    </r>
  </si>
  <si>
    <r>
      <rPr>
        <rFont val="Calibri"/>
        <b/>
        <color rgb="FF000000"/>
        <sz val="11.0"/>
      </rPr>
      <t>letní sezóna</t>
    </r>
    <r>
      <rPr>
        <rFont val="Calibri"/>
        <color rgb="FF000000"/>
        <sz val="11.0"/>
      </rPr>
      <t xml:space="preserve"> (duben - říjen) - výběr z následujícího + dokumentace plnění trestu - </t>
    </r>
    <r>
      <rPr>
        <rFont val="Calibri"/>
        <b/>
        <color rgb="FF000000"/>
        <sz val="11.0"/>
      </rPr>
      <t xml:space="preserve">1) sníst banán se slupkou, 2) sníst čajovou lžíci červeného tabasca nebo alternativu o min. 2500-5000 jednotkách pálivosti, pochutinu lze zapít, 3) sesbírat pytel odpadků na veřejném místě (alespoň 50l) </t>
    </r>
  </si>
  <si>
    <r>
      <rPr>
        <rFont val="Calibri"/>
        <color rgb="FF000000"/>
        <sz val="11.0"/>
      </rPr>
      <t xml:space="preserve">za nesplnění týdenních 100b - </t>
    </r>
    <r>
      <rPr>
        <rFont val="Calibri"/>
        <b/>
        <color rgb="FF000000"/>
        <sz val="11.0"/>
      </rPr>
      <t>50 do kasy</t>
    </r>
    <r>
      <rPr>
        <rFont val="Calibri"/>
        <color rgb="FF000000"/>
        <sz val="11.0"/>
      </rPr>
      <t xml:space="preserve"> - </t>
    </r>
    <r>
      <rPr>
        <rFont val="Calibri"/>
        <b/>
        <color rgb="FFFF0000"/>
        <sz val="11.0"/>
      </rPr>
      <t>příspěvek se opakuje každý týden, dokud není trest splněn</t>
    </r>
  </si>
  <si>
    <r>
      <rPr>
        <rFont val="Calibri"/>
        <color rgb="FF000000"/>
        <sz val="11.0"/>
      </rPr>
      <t xml:space="preserve">odstoupení v průběhu kola (mimo závažné důvody) - </t>
    </r>
    <r>
      <rPr>
        <rFont val="Calibri"/>
        <b/>
        <color rgb="FF000000"/>
        <sz val="11.0"/>
      </rPr>
      <t>10</t>
    </r>
    <r>
      <rPr>
        <rFont val="Calibri"/>
        <b/>
        <color rgb="FF000000"/>
        <sz val="11.0"/>
      </rPr>
      <t>00 do kasy</t>
    </r>
  </si>
  <si>
    <r>
      <rPr>
        <rFont val="Calibri"/>
        <color rgb="FF000000"/>
        <sz val="11.0"/>
      </rPr>
      <t xml:space="preserve">pozdní zápis bodů (po nedělních 21:00) - </t>
    </r>
    <r>
      <rPr>
        <rFont val="Calibri"/>
        <b/>
        <color rgb="FF000000"/>
        <sz val="11.0"/>
      </rPr>
      <t>3</t>
    </r>
    <r>
      <rPr>
        <rFont val="Calibri"/>
        <b/>
        <color rgb="FF000000"/>
        <sz val="11.0"/>
      </rPr>
      <t>0 do kasy</t>
    </r>
  </si>
  <si>
    <t>příspěvky do kasy dle konečného umístění ve Smečce A (gauč)</t>
  </si>
  <si>
    <r>
      <rPr>
        <rFont val="Calibri"/>
        <color rgb="FF000000"/>
        <sz val="11.0"/>
      </rPr>
      <t xml:space="preserve">1. až 3. místo - </t>
    </r>
    <r>
      <rPr>
        <rFont val="Calibri"/>
        <b/>
        <color rgb="FF000000"/>
        <sz val="11.0"/>
      </rPr>
      <t>bez příspěvku</t>
    </r>
  </si>
  <si>
    <r>
      <rPr>
        <rFont val="Calibri"/>
        <color rgb="FF000000"/>
        <sz val="11.0"/>
      </rPr>
      <t xml:space="preserve">4. místo - </t>
    </r>
    <r>
      <rPr>
        <rFont val="Calibri"/>
        <b/>
        <color rgb="FF000000"/>
        <sz val="11.0"/>
      </rPr>
      <t>100 Kč</t>
    </r>
  </si>
  <si>
    <r>
      <rPr>
        <rFont val="Calibri"/>
        <color rgb="FF000000"/>
        <sz val="11.0"/>
      </rPr>
      <t xml:space="preserve">5. místo - </t>
    </r>
    <r>
      <rPr>
        <rFont val="Calibri"/>
        <b/>
        <color rgb="FF000000"/>
        <sz val="11.0"/>
      </rPr>
      <t>200 Kč</t>
    </r>
  </si>
  <si>
    <r>
      <rPr>
        <rFont val="Calibri"/>
        <color rgb="FF000000"/>
        <sz val="11.0"/>
      </rPr>
      <t xml:space="preserve">6. místo - </t>
    </r>
    <r>
      <rPr>
        <rFont val="Calibri"/>
        <b/>
        <color rgb="FF000000"/>
        <sz val="11.0"/>
      </rPr>
      <t>300</t>
    </r>
    <r>
      <rPr>
        <rFont val="Calibri"/>
        <b/>
        <color rgb="FF000000"/>
        <sz val="11.0"/>
      </rPr>
      <t xml:space="preserve"> Kč</t>
    </r>
  </si>
  <si>
    <r>
      <rPr>
        <rFont val="Calibri"/>
        <color rgb="FF000000"/>
        <sz val="11.0"/>
      </rPr>
      <t xml:space="preserve">7. místo - </t>
    </r>
    <r>
      <rPr>
        <rFont val="Calibri"/>
        <b/>
        <color rgb="FF000000"/>
        <sz val="11.0"/>
      </rPr>
      <t>4</t>
    </r>
    <r>
      <rPr>
        <rFont val="Calibri"/>
        <b/>
        <color rgb="FF000000"/>
        <sz val="11.0"/>
      </rPr>
      <t>00 Kč</t>
    </r>
  </si>
  <si>
    <r>
      <rPr>
        <rFont val="Calibri"/>
        <color rgb="FF000000"/>
        <sz val="11.0"/>
      </rPr>
      <t xml:space="preserve">8. místo - </t>
    </r>
    <r>
      <rPr>
        <rFont val="Calibri"/>
        <b/>
        <color rgb="FF000000"/>
        <sz val="11.0"/>
      </rPr>
      <t>5</t>
    </r>
    <r>
      <rPr>
        <rFont val="Calibri"/>
        <b/>
        <color rgb="FF000000"/>
        <sz val="11.0"/>
      </rPr>
      <t>00 Kč</t>
    </r>
  </si>
  <si>
    <t>příspěvky do kasy dle konečného umístění ve Smečce B (bouda)</t>
  </si>
  <si>
    <r>
      <rPr>
        <rFont val="Calibri"/>
        <color rgb="FF000000"/>
        <sz val="11.0"/>
      </rPr>
      <t xml:space="preserve">1. až 3. místo - </t>
    </r>
    <r>
      <rPr>
        <rFont val="Calibri"/>
        <b/>
        <color rgb="FF000000"/>
        <sz val="11.0"/>
      </rPr>
      <t>bez příspěvku</t>
    </r>
  </si>
  <si>
    <r>
      <rPr>
        <rFont val="Calibri"/>
        <color rgb="FF000000"/>
        <sz val="11.0"/>
      </rPr>
      <t xml:space="preserve">4. místo - </t>
    </r>
    <r>
      <rPr>
        <rFont val="Calibri"/>
        <b/>
        <color rgb="FF000000"/>
        <sz val="11.0"/>
      </rPr>
      <t>50 Kč</t>
    </r>
  </si>
  <si>
    <r>
      <rPr>
        <rFont val="Calibri"/>
        <color rgb="FF000000"/>
        <sz val="11.0"/>
      </rPr>
      <t xml:space="preserve">5. místo - </t>
    </r>
    <r>
      <rPr>
        <rFont val="Calibri"/>
        <b/>
        <color rgb="FF000000"/>
        <sz val="11.0"/>
      </rPr>
      <t>100 Kč</t>
    </r>
  </si>
  <si>
    <r>
      <rPr>
        <rFont val="Calibri"/>
        <color rgb="FF000000"/>
        <sz val="11.0"/>
      </rPr>
      <t xml:space="preserve">6. místo - </t>
    </r>
    <r>
      <rPr>
        <rFont val="Calibri"/>
        <b/>
        <color rgb="FF000000"/>
        <sz val="11.0"/>
      </rPr>
      <t>150 Kč</t>
    </r>
  </si>
  <si>
    <r>
      <rPr>
        <rFont val="Calibri"/>
        <color rgb="FF000000"/>
        <sz val="11.0"/>
      </rPr>
      <t xml:space="preserve">7. místo - </t>
    </r>
    <r>
      <rPr>
        <rFont val="Calibri"/>
        <b/>
        <color rgb="FF000000"/>
        <sz val="11.0"/>
      </rPr>
      <t>200 Kč</t>
    </r>
  </si>
  <si>
    <r>
      <rPr>
        <rFont val="Calibri"/>
        <color rgb="FF000000"/>
        <sz val="11.0"/>
      </rPr>
      <t>8. místo -</t>
    </r>
    <r>
      <rPr>
        <rFont val="Calibri"/>
        <b/>
        <color rgb="FF000000"/>
        <sz val="11.0"/>
      </rPr>
      <t xml:space="preserve"> 250 Kč</t>
    </r>
  </si>
  <si>
    <r>
      <rPr>
        <rFont val="Calibri"/>
        <color rgb="FF000000"/>
        <sz val="11.0"/>
      </rPr>
      <t xml:space="preserve">9. místo - </t>
    </r>
    <r>
      <rPr>
        <rFont val="Calibri"/>
        <b/>
        <color rgb="FF000000"/>
        <sz val="11.0"/>
      </rPr>
      <t>300 Kč</t>
    </r>
  </si>
  <si>
    <r>
      <rPr>
        <rFont val="Calibri"/>
        <color rgb="FF000000"/>
        <sz val="11.0"/>
      </rPr>
      <t xml:space="preserve">10. místo - </t>
    </r>
    <r>
      <rPr>
        <rFont val="Calibri"/>
        <b/>
        <color rgb="FF000000"/>
        <sz val="11.0"/>
      </rPr>
      <t>350 Kč</t>
    </r>
  </si>
  <si>
    <r>
      <rPr>
        <rFont val="Calibri"/>
        <color rgb="FF000000"/>
        <sz val="11.0"/>
      </rPr>
      <t xml:space="preserve">11. místo - </t>
    </r>
    <r>
      <rPr>
        <rFont val="Calibri"/>
        <b/>
        <color rgb="FF000000"/>
        <sz val="11.0"/>
      </rPr>
      <t>400 Kč</t>
    </r>
  </si>
  <si>
    <r>
      <rPr>
        <rFont val="Calibri"/>
        <color rgb="FF000000"/>
        <sz val="11.0"/>
      </rPr>
      <t xml:space="preserve">12. místo - </t>
    </r>
    <r>
      <rPr>
        <rFont val="Calibri"/>
        <b/>
        <color rgb="FF000000"/>
        <sz val="11.0"/>
      </rPr>
      <t>450 Kč</t>
    </r>
  </si>
  <si>
    <r>
      <rPr>
        <rFont val="Calibri"/>
        <color rgb="FF000000"/>
        <sz val="11.0"/>
      </rPr>
      <t xml:space="preserve">13. místo - </t>
    </r>
    <r>
      <rPr>
        <rFont val="Calibri"/>
        <b/>
        <color rgb="FF000000"/>
        <sz val="11.0"/>
      </rPr>
      <t>500 Kč</t>
    </r>
  </si>
  <si>
    <r>
      <rPr>
        <rFont val="Calibri"/>
        <color rgb="FF000000"/>
        <sz val="11.0"/>
      </rPr>
      <t xml:space="preserve">14. místo - </t>
    </r>
    <r>
      <rPr>
        <rFont val="Calibri"/>
        <b/>
        <color rgb="FF000000"/>
        <sz val="11.0"/>
      </rPr>
      <t>550 Kč</t>
    </r>
  </si>
  <si>
    <r>
      <rPr>
        <rFont val="Calibri"/>
        <color rgb="FF000000"/>
        <sz val="11.0"/>
      </rPr>
      <t xml:space="preserve">15. místo - </t>
    </r>
    <r>
      <rPr>
        <rFont val="Calibri"/>
        <b/>
        <color rgb="FF000000"/>
        <sz val="11.0"/>
      </rPr>
      <t>600 Kč</t>
    </r>
  </si>
  <si>
    <r>
      <rPr>
        <rFont val="Calibri"/>
        <color rgb="FF000000"/>
        <sz val="11.0"/>
      </rPr>
      <t xml:space="preserve">16. místo - </t>
    </r>
    <r>
      <rPr>
        <rFont val="Calibri"/>
        <b/>
        <color rgb="FF000000"/>
        <sz val="11.0"/>
      </rPr>
      <t>650 Kč</t>
    </r>
  </si>
  <si>
    <t>odměny a body navíc</t>
  </si>
  <si>
    <t>za výhru v půlročním kole náleží vítězi putovní pohár</t>
  </si>
  <si>
    <r>
      <rPr>
        <rFont val="Calibri"/>
        <color rgb="FF000000"/>
        <sz val="11.0"/>
      </rPr>
      <t xml:space="preserve">za vítězství ve výzvě je </t>
    </r>
    <r>
      <rPr>
        <rFont val="Calibri"/>
        <b/>
        <color rgb="FF000000"/>
        <sz val="11.0"/>
      </rPr>
      <t xml:space="preserve">30, 20 a 10 </t>
    </r>
    <r>
      <rPr>
        <rFont val="Calibri"/>
        <color rgb="FF000000"/>
        <sz val="11.0"/>
      </rPr>
      <t>bodů navíc (1.,2. a 3. místo), při rovnosti bodů následuje dělba bodů dle počtu vítězů, pokud není zadavatelem uvedeno jinak</t>
    </r>
  </si>
  <si>
    <r>
      <rPr>
        <rFont val="Calibri"/>
        <color rgb="FF000000"/>
        <sz val="11.0"/>
      </rPr>
      <t xml:space="preserve">pro PSA držáka (účastník, který ani jeden týden neskrečuje) bonus </t>
    </r>
    <r>
      <rPr>
        <rFont val="Calibri"/>
        <b/>
        <color rgb="FF000000"/>
        <sz val="11.0"/>
      </rPr>
      <t>300b</t>
    </r>
    <r>
      <rPr>
        <rFont val="Calibri"/>
        <color rgb="FF000000"/>
        <sz val="11.0"/>
      </rPr>
      <t xml:space="preserve"> do celkového skóre</t>
    </r>
  </si>
  <si>
    <r>
      <rPr>
        <rFont val="Calibri"/>
        <color rgb="FF000000"/>
        <sz val="11.0"/>
      </rPr>
      <t xml:space="preserve">za účast v závodě obdrží účastník </t>
    </r>
    <r>
      <rPr>
        <rFont val="Calibri"/>
        <b/>
        <color rgb="FF000000"/>
        <sz val="11.0"/>
      </rPr>
      <t>30 b</t>
    </r>
    <r>
      <rPr>
        <rFont val="Calibri"/>
        <color rgb="FF000000"/>
        <sz val="11.0"/>
      </rPr>
      <t xml:space="preserve"> (nahlásí do skupiny)</t>
    </r>
  </si>
  <si>
    <r>
      <rPr>
        <rFont val="Calibri"/>
        <color rgb="FF000000"/>
        <sz val="11.0"/>
      </rPr>
      <t xml:space="preserve">extra body za umístění na segmentech (viz info v kolonce), maximálně však </t>
    </r>
    <r>
      <rPr>
        <rFont val="Calibri"/>
        <b/>
        <color rgb="FF000000"/>
        <sz val="11.0"/>
      </rPr>
      <t>30b/týden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</si>
</sst>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\ &quot;Kč&quot;"/>
    <numFmt numFmtId="165" formatCode="0.0"/>
  </numFmts>
  <fonts count="18">
    <font>
      <sz val="11.0"/>
      <color rgb="FF000000"/>
      <name val="Arial"/>
      <scheme val="minor"/>
    </font>
    <font>
      <sz val="11.0"/>
      <color theme="1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b/>
      <sz val="14.0"/>
      <color rgb="FF000000"/>
      <name val="Calibri"/>
    </font>
    <font>
      <b/>
      <sz val="18.0"/>
      <color rgb="FF000000"/>
      <name val="Calibri"/>
    </font>
    <font>
      <sz val="11.0"/>
      <color rgb="FF000000"/>
      <name val="Calibri"/>
    </font>
    <font/>
    <font>
      <u/>
      <sz val="11.0"/>
      <color rgb="FF0563C1"/>
      <name val="Calibri"/>
    </font>
    <font>
      <u/>
      <sz val="11.0"/>
      <color rgb="FF0563C1"/>
      <name val="Calibri"/>
    </font>
    <font>
      <color theme="1"/>
      <name val="Calibri"/>
    </font>
    <font>
      <sz val="11.0"/>
      <color rgb="FF5B9BD5"/>
      <name val="Calibri"/>
    </font>
    <font>
      <b/>
      <sz val="11.0"/>
      <color rgb="FFFFFFFF"/>
      <name val="Calibri"/>
    </font>
    <font>
      <color theme="1"/>
      <name val="Arial"/>
      <scheme val="minor"/>
    </font>
    <font>
      <strike/>
      <sz val="11.0"/>
      <color rgb="FF000000"/>
      <name val="Calibri"/>
    </font>
    <font>
      <sz val="11.0"/>
      <color rgb="FFFFFFFF"/>
      <name val="Calibri"/>
    </font>
    <font>
      <b/>
      <sz val="11.0"/>
      <color rgb="FFFF0000"/>
      <name val="Calibri"/>
    </font>
    <font>
      <sz val="11.0"/>
      <color rgb="FF000000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ED7D31"/>
        <bgColor rgb="FFED7D31"/>
      </patternFill>
    </fill>
    <fill>
      <patternFill patternType="solid">
        <fgColor rgb="FF70AD47"/>
        <bgColor rgb="FF70AD47"/>
      </patternFill>
    </fill>
    <fill>
      <patternFill patternType="solid">
        <fgColor theme="9"/>
        <bgColor theme="9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  <fill>
      <patternFill patternType="solid">
        <fgColor rgb="FFFFD966"/>
        <bgColor rgb="FFFFD966"/>
      </patternFill>
    </fill>
    <fill>
      <patternFill patternType="solid">
        <fgColor rgb="FF6D9EEB"/>
        <bgColor rgb="FF6D9EEB"/>
      </patternFill>
    </fill>
    <fill>
      <patternFill patternType="solid">
        <fgColor rgb="FFFBE4D5"/>
        <bgColor rgb="FFFBE4D5"/>
      </patternFill>
    </fill>
    <fill>
      <patternFill patternType="solid">
        <fgColor rgb="FFF1C232"/>
        <bgColor rgb="FFF1C232"/>
      </patternFill>
    </fill>
    <fill>
      <patternFill patternType="solid">
        <fgColor rgb="FF6FA8DC"/>
        <bgColor rgb="FF6FA8DC"/>
      </patternFill>
    </fill>
    <fill>
      <patternFill patternType="solid">
        <fgColor rgb="FFFF0000"/>
        <bgColor rgb="FFFF0000"/>
      </patternFill>
    </fill>
    <fill>
      <patternFill patternType="solid">
        <fgColor theme="6"/>
        <bgColor theme="6"/>
      </patternFill>
    </fill>
    <fill>
      <patternFill patternType="solid">
        <fgColor rgb="FFF7CAAC"/>
        <bgColor rgb="FFF7CAAC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A5A5A5"/>
        <bgColor rgb="FFA5A5A5"/>
      </patternFill>
    </fill>
    <fill>
      <patternFill patternType="solid">
        <fgColor rgb="FF6AA84F"/>
        <bgColor rgb="FF6AA84F"/>
      </patternFill>
    </fill>
    <fill>
      <patternFill patternType="solid">
        <fgColor rgb="FF5B9BD5"/>
        <bgColor rgb="FF5B9BD5"/>
      </patternFill>
    </fill>
    <fill>
      <patternFill patternType="solid">
        <fgColor rgb="FFC00000"/>
        <bgColor rgb="FFC00000"/>
      </patternFill>
    </fill>
    <fill>
      <patternFill patternType="solid">
        <fgColor rgb="FFFFFFFF"/>
        <bgColor rgb="FFFFFFFF"/>
      </patternFill>
    </fill>
    <fill>
      <patternFill patternType="solid">
        <fgColor rgb="FF7F7F7F"/>
        <bgColor rgb="FF7F7F7F"/>
      </patternFill>
    </fill>
    <fill>
      <patternFill patternType="solid">
        <fgColor rgb="FFFFC000"/>
        <bgColor rgb="FFFFC000"/>
      </patternFill>
    </fill>
    <fill>
      <patternFill patternType="solid">
        <fgColor rgb="FFC55A11"/>
        <bgColor rgb="FFC55A11"/>
      </patternFill>
    </fill>
    <fill>
      <patternFill patternType="solid">
        <fgColor rgb="FF7B7B7B"/>
        <bgColor rgb="FF7B7B7B"/>
      </patternFill>
    </fill>
  </fills>
  <borders count="31">
    <border/>
    <border>
      <left/>
      <right/>
      <top/>
      <bottom/>
    </border>
    <border>
      <left/>
      <top/>
      <bottom/>
    </border>
    <border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 shrinkToFit="1" wrapText="0"/>
    </xf>
    <xf borderId="0" fillId="2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horizontal="right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right" vertical="bottom"/>
    </xf>
    <xf borderId="0" fillId="3" fontId="3" numFmtId="164" xfId="0" applyAlignment="1" applyFill="1" applyFont="1" applyNumberFormat="1">
      <alignment horizontal="right"/>
    </xf>
    <xf borderId="0" fillId="0" fontId="3" numFmtId="164" xfId="0" applyAlignment="1" applyFont="1" applyNumberFormat="1">
      <alignment horizontal="right"/>
    </xf>
    <xf borderId="0" fillId="4" fontId="3" numFmtId="164" xfId="0" applyAlignment="1" applyFill="1" applyFont="1" applyNumberFormat="1">
      <alignment horizontal="right"/>
    </xf>
    <xf borderId="0" fillId="3" fontId="3" numFmtId="164" xfId="0" applyAlignment="1" applyFont="1" applyNumberFormat="1">
      <alignment horizontal="right" readingOrder="0"/>
    </xf>
    <xf borderId="0" fillId="0" fontId="3" numFmtId="164" xfId="0" applyAlignment="1" applyFont="1" applyNumberFormat="1">
      <alignment horizontal="right" vertical="bottom"/>
    </xf>
    <xf borderId="0" fillId="2" fontId="3" numFmtId="0" xfId="0" applyFont="1"/>
    <xf borderId="0" fillId="2" fontId="3" numFmtId="164" xfId="0" applyAlignment="1" applyFont="1" applyNumberFormat="1">
      <alignment readingOrder="0"/>
    </xf>
    <xf borderId="1" fillId="2" fontId="4" numFmtId="0" xfId="0" applyAlignment="1" applyBorder="1" applyFont="1">
      <alignment horizontal="left" shrinkToFit="1" wrapText="0"/>
    </xf>
    <xf borderId="0" fillId="0" fontId="5" numFmtId="0" xfId="0" applyAlignment="1" applyFont="1">
      <alignment horizontal="center" shrinkToFit="1" wrapText="0"/>
    </xf>
    <xf borderId="0" fillId="0" fontId="6" numFmtId="0" xfId="0" applyAlignment="1" applyFont="1">
      <alignment shrinkToFit="1" wrapText="0"/>
    </xf>
    <xf borderId="2" fillId="5" fontId="2" numFmtId="0" xfId="0" applyAlignment="1" applyBorder="1" applyFill="1" applyFont="1">
      <alignment horizontal="center" shrinkToFit="1" wrapText="0"/>
    </xf>
    <xf borderId="3" fillId="0" fontId="7" numFmtId="0" xfId="0" applyBorder="1" applyFont="1"/>
    <xf borderId="2" fillId="6" fontId="2" numFmtId="0" xfId="0" applyAlignment="1" applyBorder="1" applyFill="1" applyFont="1">
      <alignment horizontal="center"/>
    </xf>
    <xf borderId="0" fillId="6" fontId="2" numFmtId="0" xfId="0" applyAlignment="1" applyFont="1">
      <alignment horizontal="center"/>
    </xf>
    <xf borderId="1" fillId="2" fontId="2" numFmtId="0" xfId="0" applyAlignment="1" applyBorder="1" applyFont="1">
      <alignment horizontal="center" shrinkToFit="1" wrapText="0"/>
    </xf>
    <xf borderId="0" fillId="7" fontId="2" numFmtId="0" xfId="0" applyAlignment="1" applyFill="1" applyFont="1">
      <alignment horizontal="center" shrinkToFit="1" wrapText="0"/>
    </xf>
    <xf borderId="0" fillId="7" fontId="2" numFmtId="0" xfId="0" applyAlignment="1" applyFont="1">
      <alignment horizontal="center" readingOrder="0" shrinkToFit="1" wrapText="0"/>
    </xf>
    <xf borderId="0" fillId="8" fontId="2" numFmtId="0" xfId="0" applyAlignment="1" applyFill="1" applyFont="1">
      <alignment horizontal="center" shrinkToFit="1" wrapText="0"/>
    </xf>
    <xf borderId="0" fillId="8" fontId="2" numFmtId="0" xfId="0" applyAlignment="1" applyFont="1">
      <alignment horizontal="center" readingOrder="0" shrinkToFit="1" wrapText="0"/>
    </xf>
    <xf borderId="1" fillId="9" fontId="6" numFmtId="0" xfId="0" applyAlignment="1" applyBorder="1" applyFill="1" applyFont="1">
      <alignment horizontal="center" shrinkToFit="1" wrapText="0"/>
    </xf>
    <xf borderId="0" fillId="0" fontId="6" numFmtId="0" xfId="0" applyAlignment="1" applyFont="1">
      <alignment horizontal="left" shrinkToFit="1" wrapText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1" numFmtId="0" xfId="0" applyFont="1"/>
    <xf borderId="0" fillId="0" fontId="2" numFmtId="0" xfId="0" applyAlignment="1" applyFont="1">
      <alignment shrinkToFit="1" wrapText="0"/>
    </xf>
    <xf borderId="0" fillId="0" fontId="6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8" numFmtId="0" xfId="0" applyFont="1"/>
    <xf borderId="0" fillId="0" fontId="9" numFmtId="0" xfId="0" applyAlignment="1" applyFont="1">
      <alignment horizontal="left" shrinkToFit="1" wrapText="0"/>
    </xf>
    <xf borderId="1" fillId="9" fontId="6" numFmtId="0" xfId="0" applyAlignment="1" applyBorder="1" applyFont="1">
      <alignment horizontal="center" readingOrder="0" shrinkToFit="1" wrapText="0"/>
    </xf>
    <xf borderId="0" fillId="0" fontId="6" numFmtId="0" xfId="0" applyAlignment="1" applyFont="1">
      <alignment horizontal="left" readingOrder="0" shrinkToFit="1" wrapText="0"/>
    </xf>
    <xf borderId="0" fillId="0" fontId="6" numFmtId="0" xfId="0" applyAlignment="1" applyFont="1">
      <alignment horizontal="center" readingOrder="0"/>
    </xf>
    <xf borderId="1" fillId="9" fontId="6" numFmtId="0" xfId="0" applyAlignment="1" applyBorder="1" applyFont="1">
      <alignment horizontal="center" shrinkToFit="1" vertical="center" wrapText="0"/>
    </xf>
    <xf borderId="1" fillId="2" fontId="2" numFmtId="0" xfId="0" applyAlignment="1" applyBorder="1" applyFont="1">
      <alignment shrinkToFit="1" wrapText="0"/>
    </xf>
    <xf borderId="1" fillId="2" fontId="2" numFmtId="165" xfId="0" applyAlignment="1" applyBorder="1" applyFont="1" applyNumberFormat="1">
      <alignment shrinkToFit="1" wrapText="0"/>
    </xf>
    <xf borderId="0" fillId="0" fontId="6" numFmtId="0" xfId="0" applyAlignment="1" applyFont="1">
      <alignment horizontal="center" shrinkToFit="1" wrapText="0"/>
    </xf>
    <xf borderId="0" fillId="0" fontId="6" numFmtId="0" xfId="0" applyAlignment="1" applyFont="1">
      <alignment horizontal="right" shrinkToFit="1" wrapText="0"/>
    </xf>
    <xf borderId="0" fillId="0" fontId="10" numFmtId="0" xfId="0" applyAlignment="1" applyFont="1">
      <alignment readingOrder="0"/>
    </xf>
    <xf borderId="0" fillId="0" fontId="10" numFmtId="20" xfId="0" applyAlignment="1" applyFont="1" applyNumberFormat="1">
      <alignment readingOrder="0"/>
    </xf>
    <xf borderId="0" fillId="0" fontId="2" numFmtId="0" xfId="0" applyAlignment="1" applyFont="1">
      <alignment horizontal="left" shrinkToFit="1" wrapText="0"/>
    </xf>
    <xf borderId="0" fillId="0" fontId="6" numFmtId="165" xfId="0" applyFont="1" applyNumberFormat="1"/>
    <xf borderId="2" fillId="6" fontId="3" numFmtId="0" xfId="0" applyAlignment="1" applyBorder="1" applyFont="1">
      <alignment horizontal="center"/>
    </xf>
    <xf borderId="0" fillId="6" fontId="3" numFmtId="0" xfId="0" applyAlignment="1" applyFont="1">
      <alignment horizontal="center"/>
    </xf>
    <xf borderId="1" fillId="2" fontId="2" numFmtId="0" xfId="0" applyAlignment="1" applyBorder="1" applyFont="1">
      <alignment horizontal="center"/>
    </xf>
    <xf borderId="0" fillId="10" fontId="2" numFmtId="0" xfId="0" applyAlignment="1" applyFill="1" applyFont="1">
      <alignment horizontal="center" shrinkToFit="1" wrapText="0"/>
    </xf>
    <xf borderId="0" fillId="10" fontId="2" numFmtId="0" xfId="0" applyAlignment="1" applyFont="1">
      <alignment horizontal="center" readingOrder="0" shrinkToFit="1" wrapText="0"/>
    </xf>
    <xf borderId="0" fillId="11" fontId="2" numFmtId="0" xfId="0" applyAlignment="1" applyFill="1" applyFont="1">
      <alignment horizontal="center" shrinkToFit="1" wrapText="0"/>
    </xf>
    <xf borderId="0" fillId="11" fontId="2" numFmtId="0" xfId="0" applyAlignment="1" applyFont="1">
      <alignment horizontal="center" readingOrder="0" shrinkToFit="1" wrapText="0"/>
    </xf>
    <xf borderId="2" fillId="9" fontId="6" numFmtId="0" xfId="0" applyAlignment="1" applyBorder="1" applyFont="1">
      <alignment horizontal="left" readingOrder="0"/>
    </xf>
    <xf borderId="0" fillId="0" fontId="6" numFmtId="165" xfId="0" applyAlignment="1" applyFont="1" applyNumberFormat="1">
      <alignment horizontal="center"/>
    </xf>
    <xf borderId="0" fillId="0" fontId="6" numFmtId="165" xfId="0" applyAlignment="1" applyFont="1" applyNumberFormat="1">
      <alignment horizontal="center" readingOrder="0"/>
    </xf>
    <xf borderId="1" fillId="12" fontId="6" numFmtId="0" xfId="0" applyBorder="1" applyFill="1" applyFont="1"/>
    <xf borderId="2" fillId="9" fontId="6" numFmtId="0" xfId="0" applyAlignment="1" applyBorder="1" applyFont="1">
      <alignment horizontal="left"/>
    </xf>
    <xf borderId="0" fillId="0" fontId="10" numFmtId="165" xfId="0" applyAlignment="1" applyFont="1" applyNumberFormat="1">
      <alignment horizontal="center"/>
    </xf>
    <xf borderId="1" fillId="3" fontId="6" numFmtId="0" xfId="0" applyBorder="1" applyFont="1"/>
    <xf borderId="0" fillId="13" fontId="11" numFmtId="0" xfId="0" applyFill="1" applyFont="1"/>
    <xf borderId="4" fillId="0" fontId="6" numFmtId="0" xfId="0" applyBorder="1" applyFont="1"/>
    <xf borderId="0" fillId="0" fontId="1" numFmtId="165" xfId="0" applyAlignment="1" applyFont="1" applyNumberFormat="1">
      <alignment horizontal="center"/>
    </xf>
    <xf borderId="1" fillId="2" fontId="2" numFmtId="0" xfId="0" applyBorder="1" applyFont="1"/>
    <xf borderId="0" fillId="10" fontId="3" numFmtId="1" xfId="0" applyFont="1" applyNumberFormat="1"/>
    <xf borderId="0" fillId="11" fontId="3" numFmtId="1" xfId="0" applyFont="1" applyNumberFormat="1"/>
    <xf borderId="0" fillId="0" fontId="2" numFmtId="0" xfId="0" applyFont="1"/>
    <xf borderId="1" fillId="14" fontId="6" numFmtId="0" xfId="0" applyBorder="1" applyFill="1" applyFont="1"/>
    <xf borderId="1" fillId="15" fontId="6" numFmtId="165" xfId="0" applyBorder="1" applyFill="1" applyFont="1" applyNumberFormat="1"/>
    <xf borderId="1" fillId="16" fontId="6" numFmtId="1" xfId="0" applyBorder="1" applyFill="1" applyFont="1" applyNumberFormat="1"/>
    <xf borderId="1" fillId="15" fontId="6" numFmtId="1" xfId="0" applyBorder="1" applyFont="1" applyNumberFormat="1"/>
    <xf borderId="1" fillId="15" fontId="6" numFmtId="1" xfId="0" applyAlignment="1" applyBorder="1" applyFont="1" applyNumberFormat="1">
      <alignment readingOrder="0"/>
    </xf>
    <xf borderId="0" fillId="10" fontId="2" numFmtId="1" xfId="0" applyFont="1" applyNumberFormat="1"/>
    <xf borderId="0" fillId="11" fontId="2" numFmtId="1" xfId="0" applyFont="1" applyNumberFormat="1"/>
    <xf borderId="1" fillId="15" fontId="6" numFmtId="164" xfId="0" applyBorder="1" applyFont="1" applyNumberFormat="1"/>
    <xf borderId="1" fillId="16" fontId="6" numFmtId="164" xfId="0" applyAlignment="1" applyBorder="1" applyFont="1" applyNumberFormat="1">
      <alignment readingOrder="0"/>
    </xf>
    <xf borderId="0" fillId="0" fontId="12" numFmtId="0" xfId="0" applyFont="1"/>
    <xf borderId="0" fillId="2" fontId="3" numFmtId="0" xfId="0" applyFont="1"/>
    <xf borderId="0" fillId="10" fontId="3" numFmtId="164" xfId="0" applyFont="1" applyNumberFormat="1"/>
    <xf borderId="0" fillId="11" fontId="3" numFmtId="164" xfId="0" applyFont="1" applyNumberFormat="1"/>
    <xf borderId="0" fillId="0" fontId="3" numFmtId="0" xfId="0" applyFont="1"/>
    <xf borderId="0" fillId="2" fontId="3" numFmtId="164" xfId="0" applyFont="1" applyNumberFormat="1"/>
    <xf borderId="2" fillId="2" fontId="6" numFmtId="0" xfId="0" applyAlignment="1" applyBorder="1" applyFont="1">
      <alignment horizontal="left" readingOrder="0"/>
    </xf>
    <xf borderId="0" fillId="12" fontId="13" numFmtId="0" xfId="0" applyFont="1"/>
    <xf borderId="0" fillId="12" fontId="6" numFmtId="165" xfId="0" applyAlignment="1" applyFont="1" applyNumberFormat="1">
      <alignment horizontal="center"/>
    </xf>
    <xf borderId="0" fillId="12" fontId="6" numFmtId="0" xfId="0" applyFont="1"/>
    <xf borderId="0" fillId="0" fontId="6" numFmtId="0" xfId="0" applyAlignment="1" applyFont="1">
      <alignment horizontal="center"/>
    </xf>
    <xf borderId="0" fillId="0" fontId="14" numFmtId="0" xfId="0" applyFont="1"/>
    <xf borderId="1" fillId="9" fontId="2" numFmtId="0" xfId="0" applyAlignment="1" applyBorder="1" applyFont="1">
      <alignment horizontal="left"/>
    </xf>
    <xf borderId="0" fillId="0" fontId="6" numFmtId="0" xfId="0" applyAlignment="1" applyFont="1">
      <alignment horizontal="left"/>
    </xf>
    <xf borderId="1" fillId="2" fontId="2" numFmtId="0" xfId="0" applyAlignment="1" applyBorder="1" applyFont="1">
      <alignment horizontal="left"/>
    </xf>
    <xf borderId="1" fillId="9" fontId="6" numFmtId="0" xfId="0" applyAlignment="1" applyBorder="1" applyFont="1">
      <alignment horizontal="left"/>
    </xf>
    <xf borderId="5" fillId="17" fontId="6" numFmtId="165" xfId="0" applyAlignment="1" applyBorder="1" applyFill="1" applyFont="1" applyNumberFormat="1">
      <alignment horizontal="center"/>
    </xf>
    <xf borderId="1" fillId="2" fontId="6" numFmtId="0" xfId="0" applyAlignment="1" applyBorder="1" applyFont="1">
      <alignment horizontal="left"/>
    </xf>
    <xf borderId="6" fillId="0" fontId="6" numFmtId="0" xfId="0" applyAlignment="1" applyBorder="1" applyFont="1">
      <alignment horizontal="left"/>
    </xf>
    <xf borderId="7" fillId="0" fontId="6" numFmtId="0" xfId="0" applyAlignment="1" applyBorder="1" applyFont="1">
      <alignment horizontal="left"/>
    </xf>
    <xf borderId="6" fillId="0" fontId="6" numFmtId="20" xfId="0" applyAlignment="1" applyBorder="1" applyFont="1" applyNumberFormat="1">
      <alignment horizontal="left"/>
    </xf>
    <xf borderId="8" fillId="17" fontId="10" numFmtId="165" xfId="0" applyAlignment="1" applyBorder="1" applyFont="1" applyNumberFormat="1">
      <alignment horizontal="center"/>
    </xf>
    <xf borderId="6" fillId="0" fontId="10" numFmtId="165" xfId="0" applyAlignment="1" applyBorder="1" applyFont="1" applyNumberFormat="1">
      <alignment horizontal="center"/>
    </xf>
    <xf borderId="6" fillId="0" fontId="6" numFmtId="165" xfId="0" applyAlignment="1" applyBorder="1" applyFont="1" applyNumberFormat="1">
      <alignment horizontal="center"/>
    </xf>
    <xf borderId="9" fillId="0" fontId="6" numFmtId="0" xfId="0" applyAlignment="1" applyBorder="1" applyFont="1">
      <alignment horizontal="left"/>
    </xf>
    <xf borderId="6" fillId="13" fontId="6" numFmtId="165" xfId="0" applyAlignment="1" applyBorder="1" applyFont="1" applyNumberFormat="1">
      <alignment horizontal="center"/>
    </xf>
    <xf borderId="0" fillId="18" fontId="6" numFmtId="165" xfId="0" applyAlignment="1" applyFill="1" applyFont="1" applyNumberFormat="1">
      <alignment horizontal="center"/>
    </xf>
    <xf borderId="0" fillId="17" fontId="6" numFmtId="165" xfId="0" applyAlignment="1" applyFont="1" applyNumberFormat="1">
      <alignment horizontal="center"/>
    </xf>
    <xf borderId="6" fillId="17" fontId="6" numFmtId="165" xfId="0" applyAlignment="1" applyBorder="1" applyFont="1" applyNumberFormat="1">
      <alignment horizontal="center"/>
    </xf>
    <xf borderId="0" fillId="3" fontId="6" numFmtId="165" xfId="0" applyAlignment="1" applyFont="1" applyNumberFormat="1">
      <alignment horizontal="center"/>
    </xf>
    <xf borderId="6" fillId="3" fontId="6" numFmtId="165" xfId="0" applyAlignment="1" applyBorder="1" applyFont="1" applyNumberFormat="1">
      <alignment horizontal="center"/>
    </xf>
    <xf borderId="6" fillId="0" fontId="6" numFmtId="0" xfId="0" applyAlignment="1" applyBorder="1" applyFont="1">
      <alignment horizontal="left" readingOrder="0"/>
    </xf>
    <xf borderId="6" fillId="17" fontId="1" numFmtId="165" xfId="0" applyAlignment="1" applyBorder="1" applyFont="1" applyNumberFormat="1">
      <alignment horizontal="center"/>
    </xf>
    <xf borderId="6" fillId="0" fontId="6" numFmtId="165" xfId="0" applyAlignment="1" applyBorder="1" applyFont="1" applyNumberFormat="1">
      <alignment horizontal="center" readingOrder="0"/>
    </xf>
    <xf borderId="7" fillId="0" fontId="6" numFmtId="0" xfId="0" applyAlignment="1" applyBorder="1" applyFont="1">
      <alignment horizontal="left" readingOrder="0"/>
    </xf>
    <xf borderId="0" fillId="18" fontId="6" numFmtId="165" xfId="0" applyAlignment="1" applyFont="1" applyNumberFormat="1">
      <alignment horizontal="center" readingOrder="0"/>
    </xf>
    <xf borderId="0" fillId="17" fontId="1" numFmtId="165" xfId="0" applyAlignment="1" applyFont="1" applyNumberFormat="1">
      <alignment horizontal="center"/>
    </xf>
    <xf borderId="6" fillId="12" fontId="6" numFmtId="165" xfId="0" applyAlignment="1" applyBorder="1" applyFont="1" applyNumberFormat="1">
      <alignment horizontal="center"/>
    </xf>
    <xf borderId="0" fillId="4" fontId="6" numFmtId="165" xfId="0" applyAlignment="1" applyFont="1" applyNumberFormat="1">
      <alignment horizontal="center"/>
    </xf>
    <xf borderId="0" fillId="12" fontId="6" numFmtId="165" xfId="0" applyAlignment="1" applyFont="1" applyNumberFormat="1">
      <alignment horizontal="center" readingOrder="0"/>
    </xf>
    <xf borderId="6" fillId="4" fontId="6" numFmtId="165" xfId="0" applyAlignment="1" applyBorder="1" applyFont="1" applyNumberFormat="1">
      <alignment horizontal="center"/>
    </xf>
    <xf borderId="6" fillId="0" fontId="6" numFmtId="20" xfId="0" applyAlignment="1" applyBorder="1" applyFont="1" applyNumberFormat="1">
      <alignment horizontal="left" readingOrder="0"/>
    </xf>
    <xf borderId="0" fillId="0" fontId="2" numFmtId="0" xfId="0" applyAlignment="1" applyFont="1">
      <alignment horizontal="left"/>
    </xf>
    <xf borderId="1" fillId="16" fontId="6" numFmtId="1" xfId="0" applyAlignment="1" applyBorder="1" applyFont="1" applyNumberFormat="1">
      <alignment readingOrder="0"/>
    </xf>
    <xf borderId="1" fillId="15" fontId="6" numFmtId="164" xfId="0" applyAlignment="1" applyBorder="1" applyFont="1" applyNumberFormat="1">
      <alignment readingOrder="0"/>
    </xf>
    <xf borderId="1" fillId="16" fontId="6" numFmtId="164" xfId="0" applyBorder="1" applyFont="1" applyNumberFormat="1"/>
    <xf borderId="0" fillId="0" fontId="15" numFmtId="164" xfId="0" applyAlignment="1" applyFont="1" applyNumberFormat="1">
      <alignment horizontal="left"/>
    </xf>
    <xf borderId="0" fillId="0" fontId="3" numFmtId="0" xfId="0" applyAlignment="1" applyFont="1">
      <alignment horizontal="left"/>
    </xf>
    <xf borderId="0" fillId="0" fontId="1" numFmtId="0" xfId="0" applyAlignment="1" applyFont="1">
      <alignment horizontal="left"/>
    </xf>
    <xf borderId="2" fillId="15" fontId="2" numFmtId="0" xfId="0" applyAlignment="1" applyBorder="1" applyFont="1">
      <alignment horizontal="center" shrinkToFit="1" wrapText="0"/>
    </xf>
    <xf borderId="2" fillId="16" fontId="2" numFmtId="0" xfId="0" applyAlignment="1" applyBorder="1" applyFont="1">
      <alignment horizontal="center" shrinkToFit="1" wrapText="0"/>
    </xf>
    <xf borderId="0" fillId="0" fontId="2" numFmtId="0" xfId="0" applyAlignment="1" applyFont="1">
      <alignment horizontal="center"/>
    </xf>
    <xf borderId="6" fillId="0" fontId="6" numFmtId="9" xfId="0" applyAlignment="1" applyBorder="1" applyFont="1" applyNumberFormat="1">
      <alignment horizontal="left"/>
    </xf>
    <xf borderId="4" fillId="0" fontId="6" numFmtId="165" xfId="0" applyAlignment="1" applyBorder="1" applyFont="1" applyNumberFormat="1">
      <alignment horizontal="center"/>
    </xf>
    <xf borderId="4" fillId="3" fontId="6" numFmtId="165" xfId="0" applyAlignment="1" applyBorder="1" applyFont="1" applyNumberFormat="1">
      <alignment horizontal="center"/>
    </xf>
    <xf borderId="4" fillId="18" fontId="6" numFmtId="165" xfId="0" applyAlignment="1" applyBorder="1" applyFont="1" applyNumberFormat="1">
      <alignment horizontal="center"/>
    </xf>
    <xf borderId="0" fillId="0" fontId="11" numFmtId="0" xfId="0" applyFont="1"/>
    <xf borderId="4" fillId="0" fontId="1" numFmtId="165" xfId="0" applyAlignment="1" applyBorder="1" applyFont="1" applyNumberFormat="1">
      <alignment horizontal="center"/>
    </xf>
    <xf borderId="1" fillId="17" fontId="6" numFmtId="165" xfId="0" applyAlignment="1" applyBorder="1" applyFont="1" applyNumberFormat="1">
      <alignment horizontal="center"/>
    </xf>
    <xf borderId="10" fillId="17" fontId="6" numFmtId="165" xfId="0" applyAlignment="1" applyBorder="1" applyFont="1" applyNumberFormat="1">
      <alignment horizontal="center"/>
    </xf>
    <xf borderId="4" fillId="17" fontId="6" numFmtId="165" xfId="0" applyAlignment="1" applyBorder="1" applyFont="1" applyNumberFormat="1">
      <alignment horizontal="center"/>
    </xf>
    <xf borderId="1" fillId="17" fontId="1" numFmtId="165" xfId="0" applyAlignment="1" applyBorder="1" applyFont="1" applyNumberFormat="1">
      <alignment horizontal="center"/>
    </xf>
    <xf borderId="1" fillId="18" fontId="6" numFmtId="165" xfId="0" applyAlignment="1" applyBorder="1" applyFont="1" applyNumberFormat="1">
      <alignment horizontal="center"/>
    </xf>
    <xf borderId="1" fillId="3" fontId="6" numFmtId="165" xfId="0" applyAlignment="1" applyBorder="1" applyFont="1" applyNumberFormat="1">
      <alignment horizontal="center"/>
    </xf>
    <xf borderId="11" fillId="17" fontId="6" numFmtId="165" xfId="0" applyAlignment="1" applyBorder="1" applyFont="1" applyNumberFormat="1">
      <alignment horizontal="center"/>
    </xf>
    <xf borderId="12" fillId="17" fontId="6" numFmtId="165" xfId="0" applyAlignment="1" applyBorder="1" applyFont="1" applyNumberFormat="1">
      <alignment horizontal="center"/>
    </xf>
    <xf borderId="13" fillId="0" fontId="6" numFmtId="165" xfId="0" applyAlignment="1" applyBorder="1" applyFont="1" applyNumberFormat="1">
      <alignment horizontal="center"/>
    </xf>
    <xf borderId="4" fillId="12" fontId="6" numFmtId="165" xfId="0" applyAlignment="1" applyBorder="1" applyFont="1" applyNumberFormat="1">
      <alignment horizontal="center"/>
    </xf>
    <xf borderId="0" fillId="0" fontId="2" numFmtId="1" xfId="0" applyFont="1" applyNumberFormat="1"/>
    <xf borderId="0" fillId="0" fontId="3" numFmtId="1" xfId="0" applyFont="1" applyNumberFormat="1"/>
    <xf borderId="0" fillId="0" fontId="3" numFmtId="164" xfId="0" applyFont="1" applyNumberFormat="1"/>
    <xf borderId="1" fillId="19" fontId="6" numFmtId="165" xfId="0" applyAlignment="1" applyBorder="1" applyFill="1" applyFont="1" applyNumberFormat="1">
      <alignment horizontal="center"/>
    </xf>
    <xf borderId="4" fillId="19" fontId="6" numFmtId="165" xfId="0" applyAlignment="1" applyBorder="1" applyFont="1" applyNumberFormat="1">
      <alignment horizontal="center"/>
    </xf>
    <xf borderId="1" fillId="19" fontId="1" numFmtId="165" xfId="0" applyAlignment="1" applyBorder="1" applyFont="1" applyNumberFormat="1">
      <alignment horizontal="center"/>
    </xf>
    <xf borderId="1" fillId="12" fontId="6" numFmtId="165" xfId="0" applyAlignment="1" applyBorder="1" applyFont="1" applyNumberFormat="1">
      <alignment horizontal="center"/>
    </xf>
    <xf borderId="1" fillId="19" fontId="11" numFmtId="0" xfId="0" applyBorder="1" applyFont="1"/>
    <xf borderId="1" fillId="2" fontId="6" numFmtId="1" xfId="0" applyBorder="1" applyFont="1" applyNumberFormat="1"/>
    <xf borderId="1" fillId="14" fontId="2" numFmtId="0" xfId="0" applyBorder="1" applyFont="1"/>
    <xf borderId="1" fillId="14" fontId="6" numFmtId="165" xfId="0" applyBorder="1" applyFont="1" applyNumberFormat="1"/>
    <xf borderId="1" fillId="14" fontId="6" numFmtId="1" xfId="0" applyBorder="1" applyFont="1" applyNumberFormat="1"/>
    <xf borderId="1" fillId="20" fontId="12" numFmtId="0" xfId="0" applyBorder="1" applyFill="1" applyFont="1"/>
    <xf borderId="1" fillId="20" fontId="15" numFmtId="0" xfId="0" applyBorder="1" applyFont="1"/>
    <xf borderId="1" fillId="14" fontId="6" numFmtId="164" xfId="0" applyBorder="1" applyFont="1" applyNumberFormat="1"/>
    <xf borderId="0" fillId="0" fontId="15" numFmtId="164" xfId="0" applyFont="1" applyNumberFormat="1"/>
    <xf borderId="1" fillId="20" fontId="15" numFmtId="164" xfId="0" applyBorder="1" applyFont="1" applyNumberFormat="1"/>
    <xf borderId="1" fillId="9" fontId="2" numFmtId="0" xfId="0" applyAlignment="1" applyBorder="1" applyFont="1">
      <alignment horizontal="center"/>
    </xf>
    <xf borderId="6" fillId="0" fontId="6" numFmtId="0" xfId="0" applyAlignment="1" applyBorder="1" applyFont="1">
      <alignment horizontal="center"/>
    </xf>
    <xf borderId="7" fillId="0" fontId="6" numFmtId="0" xfId="0" applyAlignment="1" applyBorder="1" applyFont="1">
      <alignment horizontal="center"/>
    </xf>
    <xf borderId="9" fillId="0" fontId="6" numFmtId="0" xfId="0" applyAlignment="1" applyBorder="1" applyFont="1">
      <alignment horizontal="center"/>
    </xf>
    <xf borderId="8" fillId="0" fontId="6" numFmtId="0" xfId="0" applyAlignment="1" applyBorder="1" applyFont="1">
      <alignment horizontal="center"/>
    </xf>
    <xf borderId="1" fillId="9" fontId="6" numFmtId="0" xfId="0" applyAlignment="1" applyBorder="1" applyFont="1">
      <alignment horizontal="center"/>
    </xf>
    <xf borderId="1" fillId="14" fontId="6" numFmtId="164" xfId="0" applyAlignment="1" applyBorder="1" applyFont="1" applyNumberFormat="1">
      <alignment horizontal="right"/>
    </xf>
    <xf borderId="1" fillId="3" fontId="15" numFmtId="164" xfId="0" applyBorder="1" applyFont="1" applyNumberFormat="1"/>
    <xf borderId="14" fillId="0" fontId="6" numFmtId="0" xfId="0" applyAlignment="1" applyBorder="1" applyFont="1">
      <alignment horizontal="center"/>
    </xf>
    <xf borderId="6" fillId="0" fontId="6" numFmtId="46" xfId="0" applyAlignment="1" applyBorder="1" applyFont="1" applyNumberFormat="1">
      <alignment horizontal="center"/>
    </xf>
    <xf borderId="15" fillId="0" fontId="6" numFmtId="0" xfId="0" applyAlignment="1" applyBorder="1" applyFont="1">
      <alignment horizontal="center"/>
    </xf>
    <xf borderId="16" fillId="0" fontId="6" numFmtId="165" xfId="0" applyAlignment="1" applyBorder="1" applyFont="1" applyNumberFormat="1">
      <alignment horizontal="center"/>
    </xf>
    <xf borderId="11" fillId="19" fontId="6" numFmtId="165" xfId="0" applyAlignment="1" applyBorder="1" applyFont="1" applyNumberFormat="1">
      <alignment horizontal="center"/>
    </xf>
    <xf borderId="12" fillId="19" fontId="6" numFmtId="165" xfId="0" applyAlignment="1" applyBorder="1" applyFont="1" applyNumberFormat="1">
      <alignment horizontal="center"/>
    </xf>
    <xf borderId="10" fillId="19" fontId="6" numFmtId="165" xfId="0" applyAlignment="1" applyBorder="1" applyFont="1" applyNumberFormat="1">
      <alignment horizontal="center"/>
    </xf>
    <xf borderId="12" fillId="18" fontId="6" numFmtId="165" xfId="0" applyAlignment="1" applyBorder="1" applyFont="1" applyNumberFormat="1">
      <alignment horizontal="center"/>
    </xf>
    <xf borderId="1" fillId="20" fontId="15" numFmtId="0" xfId="0" applyAlignment="1" applyBorder="1" applyFont="1">
      <alignment horizontal="center"/>
    </xf>
    <xf borderId="0" fillId="0" fontId="15" numFmtId="0" xfId="0" applyFont="1"/>
    <xf borderId="6" fillId="0" fontId="6" numFmtId="20" xfId="0" applyAlignment="1" applyBorder="1" applyFont="1" applyNumberFormat="1">
      <alignment horizontal="center"/>
    </xf>
    <xf borderId="1" fillId="21" fontId="6" numFmtId="165" xfId="0" applyAlignment="1" applyBorder="1" applyFill="1" applyFont="1" applyNumberFormat="1">
      <alignment horizontal="center"/>
    </xf>
    <xf borderId="1" fillId="19" fontId="6" numFmtId="0" xfId="0" applyBorder="1" applyFont="1"/>
    <xf borderId="4" fillId="19" fontId="6" numFmtId="0" xfId="0" applyAlignment="1" applyBorder="1" applyFont="1">
      <alignment horizontal="center"/>
    </xf>
    <xf borderId="17" fillId="0" fontId="6" numFmtId="0" xfId="0" applyAlignment="1" applyBorder="1" applyFont="1">
      <alignment horizontal="center"/>
    </xf>
    <xf borderId="4" fillId="3" fontId="6" numFmtId="0" xfId="0" applyAlignment="1" applyBorder="1" applyFont="1">
      <alignment horizontal="center"/>
    </xf>
    <xf borderId="18" fillId="3" fontId="6" numFmtId="0" xfId="0" applyAlignment="1" applyBorder="1" applyFont="1">
      <alignment horizontal="center"/>
    </xf>
    <xf borderId="4" fillId="0" fontId="6" numFmtId="0" xfId="0" applyAlignment="1" applyBorder="1" applyFont="1">
      <alignment horizontal="center"/>
    </xf>
    <xf borderId="19" fillId="0" fontId="6" numFmtId="0" xfId="0" applyAlignment="1" applyBorder="1" applyFont="1">
      <alignment horizontal="center"/>
    </xf>
    <xf borderId="6" fillId="3" fontId="6" numFmtId="0" xfId="0" applyAlignment="1" applyBorder="1" applyFont="1">
      <alignment horizontal="center"/>
    </xf>
    <xf borderId="20" fillId="0" fontId="6" numFmtId="0" xfId="0" applyAlignment="1" applyBorder="1" applyFont="1">
      <alignment horizontal="center"/>
    </xf>
    <xf borderId="21" fillId="0" fontId="6" numFmtId="0" xfId="0" applyAlignment="1" applyBorder="1" applyFont="1">
      <alignment horizontal="center"/>
    </xf>
    <xf borderId="22" fillId="18" fontId="6" numFmtId="0" xfId="0" applyAlignment="1" applyBorder="1" applyFont="1">
      <alignment horizontal="center"/>
    </xf>
    <xf borderId="23" fillId="19" fontId="6" numFmtId="0" xfId="0" applyAlignment="1" applyBorder="1" applyFont="1">
      <alignment horizontal="center"/>
    </xf>
    <xf borderId="10" fillId="3" fontId="6" numFmtId="0" xfId="0" applyAlignment="1" applyBorder="1" applyFont="1">
      <alignment horizontal="center"/>
    </xf>
    <xf borderId="4" fillId="18" fontId="6" numFmtId="0" xfId="0" applyAlignment="1" applyBorder="1" applyFont="1">
      <alignment horizontal="center"/>
    </xf>
    <xf borderId="24" fillId="3" fontId="6" numFmtId="0" xfId="0" applyAlignment="1" applyBorder="1" applyFont="1">
      <alignment horizontal="center"/>
    </xf>
    <xf borderId="4" fillId="12" fontId="6" numFmtId="0" xfId="0" applyAlignment="1" applyBorder="1" applyFont="1">
      <alignment horizontal="center"/>
    </xf>
    <xf borderId="25" fillId="0" fontId="6" numFmtId="0" xfId="0" applyAlignment="1" applyBorder="1" applyFont="1">
      <alignment horizontal="center"/>
    </xf>
    <xf borderId="26" fillId="3" fontId="6" numFmtId="0" xfId="0" applyAlignment="1" applyBorder="1" applyFont="1">
      <alignment horizontal="center"/>
    </xf>
    <xf borderId="27" fillId="0" fontId="6" numFmtId="0" xfId="0" applyAlignment="1" applyBorder="1" applyFont="1">
      <alignment horizontal="center"/>
    </xf>
    <xf borderId="28" fillId="0" fontId="6" numFmtId="0" xfId="0" applyAlignment="1" applyBorder="1" applyFont="1">
      <alignment horizontal="center"/>
    </xf>
    <xf borderId="7" fillId="0" fontId="6" numFmtId="20" xfId="0" applyAlignment="1" applyBorder="1" applyFont="1" applyNumberFormat="1">
      <alignment horizontal="center"/>
    </xf>
    <xf borderId="27" fillId="0" fontId="6" numFmtId="0" xfId="0" applyBorder="1" applyFont="1"/>
    <xf borderId="1" fillId="3" fontId="6" numFmtId="0" xfId="0" applyAlignment="1" applyBorder="1" applyFont="1">
      <alignment horizontal="center"/>
    </xf>
    <xf borderId="1" fillId="19" fontId="6" numFmtId="0" xfId="0" applyAlignment="1" applyBorder="1" applyFont="1">
      <alignment horizontal="center"/>
    </xf>
    <xf borderId="1" fillId="12" fontId="6" numFmtId="0" xfId="0" applyAlignment="1" applyBorder="1" applyFont="1">
      <alignment horizontal="center"/>
    </xf>
    <xf borderId="1" fillId="21" fontId="6" numFmtId="0" xfId="0" applyAlignment="1" applyBorder="1" applyFont="1">
      <alignment horizontal="center"/>
    </xf>
    <xf borderId="1" fillId="18" fontId="6" numFmtId="0" xfId="0" applyAlignment="1" applyBorder="1" applyFont="1">
      <alignment horizontal="center"/>
    </xf>
    <xf borderId="16" fillId="0" fontId="6" numFmtId="0" xfId="0" applyAlignment="1" applyBorder="1" applyFont="1">
      <alignment horizontal="center"/>
    </xf>
    <xf borderId="12" fillId="19" fontId="6" numFmtId="0" xfId="0" applyAlignment="1" applyBorder="1" applyFont="1">
      <alignment horizontal="center"/>
    </xf>
    <xf borderId="12" fillId="3" fontId="6" numFmtId="0" xfId="0" applyAlignment="1" applyBorder="1" applyFont="1">
      <alignment horizontal="center"/>
    </xf>
    <xf borderId="12" fillId="12" fontId="6" numFmtId="0" xfId="0" applyAlignment="1" applyBorder="1" applyFont="1">
      <alignment horizontal="center"/>
    </xf>
    <xf borderId="1" fillId="22" fontId="6" numFmtId="0" xfId="0" applyBorder="1" applyFill="1" applyFont="1"/>
    <xf borderId="1" fillId="23" fontId="6" numFmtId="0" xfId="0" applyBorder="1" applyFill="1" applyFont="1"/>
    <xf borderId="1" fillId="24" fontId="2" numFmtId="0" xfId="0" applyBorder="1" applyFill="1" applyFont="1"/>
    <xf borderId="1" fillId="25" fontId="15" numFmtId="0" xfId="0" applyBorder="1" applyFill="1" applyFont="1"/>
    <xf borderId="29" fillId="0" fontId="6" numFmtId="0" xfId="0" applyBorder="1" applyFont="1"/>
    <xf borderId="4" fillId="19" fontId="6" numFmtId="0" xfId="0" applyBorder="1" applyFont="1"/>
    <xf borderId="12" fillId="19" fontId="6" numFmtId="0" xfId="0" applyBorder="1" applyFont="1"/>
    <xf borderId="30" fillId="19" fontId="6" numFmtId="0" xfId="0" applyBorder="1" applyFont="1"/>
    <xf borderId="4" fillId="3" fontId="6" numFmtId="0" xfId="0" applyBorder="1" applyFont="1"/>
    <xf borderId="30" fillId="12" fontId="6" numFmtId="0" xfId="0" applyBorder="1" applyFont="1"/>
    <xf borderId="30" fillId="3" fontId="6" numFmtId="0" xfId="0" applyBorder="1" applyFont="1"/>
    <xf borderId="4" fillId="12" fontId="6" numFmtId="0" xfId="0" applyBorder="1" applyFont="1"/>
    <xf borderId="1" fillId="12" fontId="2" numFmtId="0" xfId="0" applyBorder="1" applyFont="1"/>
    <xf borderId="1" fillId="2" fontId="6" numFmtId="0" xfId="0" applyBorder="1" applyFont="1"/>
    <xf borderId="0" fillId="0" fontId="6" numFmtId="20" xfId="0" applyAlignment="1" applyFont="1" applyNumberFormat="1">
      <alignment horizontal="center"/>
    </xf>
    <xf borderId="0" fillId="0" fontId="16" numFmtId="0" xfId="0" applyFont="1"/>
    <xf borderId="0" fillId="0" fontId="17" numFmtId="0" xfId="0" applyFont="1"/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>
        <color rgb="FFFFFFFF"/>
      </font>
      <fill>
        <patternFill patternType="solid">
          <fgColor rgb="FF7F7F7F"/>
          <bgColor rgb="FF7F7F7F"/>
        </patternFill>
      </fill>
      <border/>
    </dxf>
    <dxf>
      <font>
        <color rgb="FFFFFFFF"/>
      </font>
      <fill>
        <patternFill patternType="solid">
          <fgColor rgb="FFFFC000"/>
          <bgColor rgb="FFFFC0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1176395902972511"/>
          <c:y val="0.08324255167028853"/>
          <c:w val="0.8299853990311261"/>
          <c:h val="0.7478329993697025"/>
        </c:manualLayout>
      </c:layout>
      <c:barChart>
        <c:barDir val="col"/>
        <c:ser>
          <c:idx val="0"/>
          <c:order val="0"/>
          <c:spPr>
            <a:solidFill>
              <a:srgbClr val="FFC0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'R10'!$B$2:$I$2</c:f>
            </c:strRef>
          </c:cat>
          <c:val>
            <c:numRef>
              <c:f>'R10'!$B$31:$I$31</c:f>
              <c:numCache/>
            </c:numRef>
          </c:val>
        </c:ser>
        <c:axId val="1517797755"/>
        <c:axId val="220489036"/>
      </c:barChart>
      <c:catAx>
        <c:axId val="15177977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20489036"/>
      </c:catAx>
      <c:valAx>
        <c:axId val="2204890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1517797755"/>
      </c:valAx>
      <c:spPr>
        <a:solidFill>
          <a:srgbClr val="FFFFFF"/>
        </a:solidFill>
      </c:spPr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986598761453752"/>
          <c:y val="0.08324255167028853"/>
          <c:w val="0.8818833422067792"/>
          <c:h val="0.7478329993697025"/>
        </c:manualLayout>
      </c:layout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'R10'!$J$2:$X$2</c:f>
            </c:strRef>
          </c:cat>
          <c:val>
            <c:numRef>
              <c:f>'R10'!$J$31:$X$31</c:f>
              <c:numCache/>
            </c:numRef>
          </c:val>
        </c:ser>
        <c:axId val="527183744"/>
        <c:axId val="1139759466"/>
      </c:barChart>
      <c:catAx>
        <c:axId val="527183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39759466"/>
      </c:catAx>
      <c:valAx>
        <c:axId val="11397594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527183744"/>
      </c:valAx>
      <c:spPr>
        <a:solidFill>
          <a:srgbClr val="FFFFFF"/>
        </a:solidFill>
      </c:spPr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048836709782534"/>
          <c:y val="0.04678798835946111"/>
          <c:w val="0.845074575258931"/>
          <c:h val="0.7905698947752378"/>
        </c:manualLayout>
      </c:layout>
      <c:barChart>
        <c:barDir val="col"/>
        <c:ser>
          <c:idx val="0"/>
          <c:order val="0"/>
          <c:spPr>
            <a:solidFill>
              <a:srgbClr val="ED7D3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'R9'!$B$1:$T$1</c:f>
            </c:strRef>
          </c:cat>
          <c:val>
            <c:numRef>
              <c:f>'R9'!$B$31:$T$31</c:f>
              <c:numCache/>
            </c:numRef>
          </c:val>
        </c:ser>
        <c:axId val="1424353516"/>
        <c:axId val="2009688327"/>
      </c:barChart>
      <c:catAx>
        <c:axId val="14243535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09688327"/>
      </c:catAx>
      <c:valAx>
        <c:axId val="20096883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1424353516"/>
      </c:valAx>
      <c:spPr>
        <a:solidFill>
          <a:srgbClr val="FFFFFF"/>
        </a:solidFill>
      </c:spPr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048836709782534"/>
          <c:y val="0.04678798835946111"/>
          <c:w val="0.845074575258931"/>
          <c:h val="0.7905698947752378"/>
        </c:manualLayout>
      </c:layout>
      <c:barChart>
        <c:barDir val="col"/>
        <c:ser>
          <c:idx val="0"/>
          <c:order val="0"/>
          <c:spPr>
            <a:solidFill>
              <a:srgbClr val="C000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'R8'!$B$1:$Q$1</c:f>
            </c:strRef>
          </c:cat>
          <c:val>
            <c:numRef>
              <c:f>'R8'!$B$30:$Q$30</c:f>
              <c:numCache/>
            </c:numRef>
          </c:val>
        </c:ser>
        <c:axId val="968711473"/>
        <c:axId val="495741557"/>
      </c:barChart>
      <c:catAx>
        <c:axId val="9687114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95741557"/>
      </c:catAx>
      <c:valAx>
        <c:axId val="4957415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968711473"/>
      </c:valAx>
      <c:spPr>
        <a:solidFill>
          <a:srgbClr val="FFFFFF"/>
        </a:solidFill>
      </c:spPr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048836709782534"/>
          <c:y val="0.04678798835946111"/>
          <c:w val="0.845074575258931"/>
          <c:h val="0.7905698947752378"/>
        </c:manualLayout>
      </c:layout>
      <c:barChart>
        <c:barDir val="col"/>
        <c:ser>
          <c:idx val="0"/>
          <c:order val="0"/>
          <c:spPr>
            <a:solidFill>
              <a:srgbClr val="C000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'R7'!$B$1:$O$1</c:f>
            </c:strRef>
          </c:cat>
          <c:val>
            <c:numRef>
              <c:f>'R7'!$B$31:$O$31</c:f>
              <c:numCache/>
            </c:numRef>
          </c:val>
        </c:ser>
        <c:axId val="572362478"/>
        <c:axId val="1352185048"/>
      </c:barChart>
      <c:catAx>
        <c:axId val="5723624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52185048"/>
      </c:catAx>
      <c:valAx>
        <c:axId val="13521850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572362478"/>
      </c:valAx>
      <c:spPr>
        <a:solidFill>
          <a:srgbClr val="FFFFFF"/>
        </a:solidFill>
      </c:spPr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033979285523442"/>
          <c:y val="0.09471338741267614"/>
          <c:w val="0.8556380153079668"/>
          <c:h val="0.7058404104320798"/>
        </c:manualLayout>
      </c:layout>
      <c:barChart>
        <c:barDir val="col"/>
        <c:ser>
          <c:idx val="0"/>
          <c:order val="0"/>
          <c:spPr>
            <a:solidFill>
              <a:srgbClr val="C000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'R6'!$B$1:$O$1</c:f>
            </c:strRef>
          </c:cat>
          <c:val>
            <c:numRef>
              <c:f>'R6'!$B$31:$O$31</c:f>
              <c:numCache/>
            </c:numRef>
          </c:val>
        </c:ser>
        <c:axId val="1770639298"/>
        <c:axId val="862815393"/>
      </c:barChart>
      <c:catAx>
        <c:axId val="17706392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62815393"/>
      </c:catAx>
      <c:valAx>
        <c:axId val="8628153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1770639298"/>
      </c:valAx>
      <c:spPr>
        <a:solidFill>
          <a:srgbClr val="FFFFFF"/>
        </a:solidFill>
      </c:spPr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033979285523442"/>
          <c:y val="0.09471338741267614"/>
          <c:w val="0.8556380153079668"/>
          <c:h val="0.7058404104320798"/>
        </c:manualLayout>
      </c:layout>
      <c:barChart>
        <c:barDir val="col"/>
        <c:ser>
          <c:idx val="0"/>
          <c:order val="0"/>
          <c:spPr>
            <a:solidFill>
              <a:srgbClr val="C000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'R5'!$B$1:$N$1</c:f>
            </c:strRef>
          </c:cat>
          <c:val>
            <c:numRef>
              <c:f>'R5'!$B$30:$N$30</c:f>
              <c:numCache/>
            </c:numRef>
          </c:val>
        </c:ser>
        <c:axId val="1804453471"/>
        <c:axId val="2004484396"/>
      </c:barChart>
      <c:catAx>
        <c:axId val="18044534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04484396"/>
      </c:catAx>
      <c:valAx>
        <c:axId val="20044843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1804453471"/>
      </c:valAx>
      <c:spPr>
        <a:solidFill>
          <a:srgbClr val="FFFFFF"/>
        </a:solidFill>
      </c:spPr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2763135147028776"/>
          <c:y val="0.08180285621397024"/>
          <c:w val="0.848479209559883"/>
          <c:h val="0.7377760861463314"/>
        </c:manualLayout>
      </c:layout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'R4'!$B$1:$N$1</c:f>
            </c:strRef>
          </c:cat>
          <c:val>
            <c:numRef>
              <c:f>'R4'!$B$27:$N$27</c:f>
              <c:numCache/>
            </c:numRef>
          </c:val>
        </c:ser>
        <c:axId val="872857257"/>
        <c:axId val="303362904"/>
      </c:barChart>
      <c:catAx>
        <c:axId val="8728572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03362904"/>
      </c:catAx>
      <c:valAx>
        <c:axId val="3033629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>
                    <a:solidFill>
                      <a:srgbClr val="000000"/>
                    </a:solidFill>
                    <a:latin typeface="Calibri"/>
                  </a:rPr>
                  <a:t>Body průměrně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872857257"/>
      </c:valAx>
      <c:spPr>
        <a:solidFill>
          <a:srgbClr val="FFFFFF"/>
        </a:solidFill>
      </c:spPr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'R3'!$B$1:$U$1</c:f>
            </c:strRef>
          </c:cat>
          <c:val>
            <c:numRef>
              <c:f>'R3'!$B$29:$U$29</c:f>
              <c:numCache/>
            </c:numRef>
          </c:val>
        </c:ser>
        <c:axId val="1591000382"/>
        <c:axId val="305523113"/>
      </c:barChart>
      <c:catAx>
        <c:axId val="15910003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305523113"/>
      </c:catAx>
      <c:valAx>
        <c:axId val="3055231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591000382"/>
      </c:valAx>
      <c:spPr>
        <a:solidFill>
          <a:srgbClr val="FFFFFF"/>
        </a:solidFill>
      </c:spPr>
    </c:plotArea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36</xdr:row>
      <xdr:rowOff>0</xdr:rowOff>
    </xdr:from>
    <xdr:ext cx="5572125" cy="2181225"/>
    <xdr:graphicFrame>
      <xdr:nvGraphicFramePr>
        <xdr:cNvPr id="718237396" name="Chart 1" title="Gra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104775</xdr:colOff>
      <xdr:row>36</xdr:row>
      <xdr:rowOff>66675</xdr:rowOff>
    </xdr:from>
    <xdr:ext cx="8562975" cy="2124075"/>
    <xdr:graphicFrame>
      <xdr:nvGraphicFramePr>
        <xdr:cNvPr id="219085689" name="Chart 2" title="Gra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95250</xdr:colOff>
      <xdr:row>2</xdr:row>
      <xdr:rowOff>38100</xdr:rowOff>
    </xdr:from>
    <xdr:ext cx="6534150" cy="3152775"/>
    <xdr:graphicFrame>
      <xdr:nvGraphicFramePr>
        <xdr:cNvPr id="41530375" name="Chart 3" title="Gra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95250</xdr:colOff>
      <xdr:row>2</xdr:row>
      <xdr:rowOff>38100</xdr:rowOff>
    </xdr:from>
    <xdr:ext cx="4772025" cy="3152775"/>
    <xdr:graphicFrame>
      <xdr:nvGraphicFramePr>
        <xdr:cNvPr id="126249228" name="Chart 4" title="Gra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18</xdr:col>
      <xdr:colOff>9525</xdr:colOff>
      <xdr:row>34</xdr:row>
      <xdr:rowOff>76200</xdr:rowOff>
    </xdr:from>
    <xdr:ext cx="4219575" cy="73152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95250</xdr:colOff>
      <xdr:row>2</xdr:row>
      <xdr:rowOff>38100</xdr:rowOff>
    </xdr:from>
    <xdr:ext cx="4772025" cy="3152775"/>
    <xdr:graphicFrame>
      <xdr:nvGraphicFramePr>
        <xdr:cNvPr id="662578882" name="Chart 5" title="Gra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95250</xdr:colOff>
      <xdr:row>2</xdr:row>
      <xdr:rowOff>38100</xdr:rowOff>
    </xdr:from>
    <xdr:ext cx="4772025" cy="3152775"/>
    <xdr:graphicFrame>
      <xdr:nvGraphicFramePr>
        <xdr:cNvPr id="1257877328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95250</xdr:colOff>
      <xdr:row>1</xdr:row>
      <xdr:rowOff>38100</xdr:rowOff>
    </xdr:from>
    <xdr:ext cx="4772025" cy="3152775"/>
    <xdr:graphicFrame>
      <xdr:nvGraphicFramePr>
        <xdr:cNvPr id="2070541044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95250</xdr:colOff>
      <xdr:row>1</xdr:row>
      <xdr:rowOff>38100</xdr:rowOff>
    </xdr:from>
    <xdr:ext cx="4772025" cy="3152775"/>
    <xdr:graphicFrame>
      <xdr:nvGraphicFramePr>
        <xdr:cNvPr id="34915393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95250</xdr:colOff>
      <xdr:row>1</xdr:row>
      <xdr:rowOff>38100</xdr:rowOff>
    </xdr:from>
    <xdr:ext cx="4772025" cy="3152775"/>
    <xdr:graphicFrame>
      <xdr:nvGraphicFramePr>
        <xdr:cNvPr id="1972162993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aUYRVSNz_VY" TargetMode="External"/><Relationship Id="rId2" Type="http://schemas.openxmlformats.org/officeDocument/2006/relationships/hyperlink" Target="https://www.youtube.com/watch?v=rACy-0g1CuY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6.25"/>
    <col customWidth="1" min="3" max="6" width="5.88"/>
    <col customWidth="1" min="7" max="7" width="5.25"/>
    <col customWidth="1" min="8" max="8" width="5.88"/>
    <col customWidth="1" min="9" max="9" width="7.25"/>
    <col customWidth="1" min="10" max="10" width="6.38"/>
    <col customWidth="1" min="11" max="11" width="6.75"/>
    <col customWidth="1" min="12" max="13" width="5.88"/>
    <col customWidth="1" min="14" max="15" width="6.5"/>
    <col customWidth="1" min="16" max="16" width="7.25"/>
    <col customWidth="1" min="17" max="17" width="7.38"/>
    <col customWidth="1" min="18" max="19" width="7.25"/>
    <col customWidth="1" min="20" max="20" width="5.88"/>
    <col customWidth="1" min="21" max="23" width="7.25"/>
    <col customWidth="1" min="24" max="26" width="5.88"/>
    <col customWidth="1" min="27" max="27" width="7.1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3" t="s">
        <v>22</v>
      </c>
      <c r="AA1" s="3" t="s">
        <v>24</v>
      </c>
    </row>
    <row r="2">
      <c r="A2" s="4" t="s">
        <v>25</v>
      </c>
      <c r="B2" s="5">
        <v>0.0</v>
      </c>
      <c r="C2" s="5">
        <v>0.0</v>
      </c>
      <c r="D2" s="5">
        <v>300.0</v>
      </c>
      <c r="E2" s="5">
        <v>530.0</v>
      </c>
      <c r="F2" s="5">
        <v>200.0</v>
      </c>
      <c r="G2" s="5">
        <v>0.0</v>
      </c>
      <c r="H2" s="5">
        <v>100.0</v>
      </c>
      <c r="I2" s="5">
        <v>660.0</v>
      </c>
      <c r="J2" s="5">
        <v>230.0</v>
      </c>
      <c r="K2" s="5">
        <v>280.0</v>
      </c>
      <c r="L2" s="5">
        <v>0.0</v>
      </c>
      <c r="M2" s="5">
        <v>300.0</v>
      </c>
      <c r="N2" s="5">
        <v>460.0</v>
      </c>
      <c r="O2" s="5">
        <v>150.0</v>
      </c>
      <c r="P2" s="5">
        <v>2250.0</v>
      </c>
      <c r="Q2" s="5">
        <v>0.0</v>
      </c>
      <c r="R2" s="5">
        <v>1150.0</v>
      </c>
      <c r="S2" s="5">
        <v>550.0</v>
      </c>
      <c r="T2" s="5">
        <v>50.0</v>
      </c>
      <c r="U2" s="5">
        <v>400.0</v>
      </c>
      <c r="V2" s="5">
        <v>1750.0</v>
      </c>
      <c r="W2" s="5">
        <v>1700.0</v>
      </c>
      <c r="X2" s="5">
        <v>350.0</v>
      </c>
      <c r="Y2" s="5">
        <v>550.0</v>
      </c>
      <c r="Z2" s="6" t="s">
        <v>26</v>
      </c>
      <c r="AA2" s="6" t="s">
        <v>26</v>
      </c>
    </row>
    <row r="3">
      <c r="A3" s="4" t="s">
        <v>27</v>
      </c>
      <c r="B3" s="7">
        <v>0.0</v>
      </c>
      <c r="C3" s="7">
        <v>0.0</v>
      </c>
      <c r="D3" s="7">
        <v>0.0</v>
      </c>
      <c r="E3" s="7">
        <v>200.0</v>
      </c>
      <c r="F3" s="7">
        <v>300.0</v>
      </c>
      <c r="G3" s="7">
        <v>0.0</v>
      </c>
      <c r="H3" s="7">
        <v>0.0</v>
      </c>
      <c r="I3" s="7">
        <v>0.0</v>
      </c>
      <c r="J3" s="7">
        <v>400.0</v>
      </c>
      <c r="K3" s="7">
        <v>500.0</v>
      </c>
      <c r="L3" s="7">
        <v>100.0</v>
      </c>
      <c r="M3" s="7">
        <v>180.0</v>
      </c>
      <c r="N3" s="7">
        <v>150.0</v>
      </c>
      <c r="O3" s="7">
        <v>260.0</v>
      </c>
      <c r="P3" s="7">
        <v>250.0</v>
      </c>
      <c r="Q3" s="7">
        <v>300.0</v>
      </c>
      <c r="R3" s="7">
        <v>350.0</v>
      </c>
      <c r="S3" s="7">
        <v>700.0</v>
      </c>
      <c r="T3" s="7">
        <v>450.0</v>
      </c>
      <c r="U3" s="7">
        <v>600.0</v>
      </c>
      <c r="V3" s="7">
        <v>1100.0</v>
      </c>
      <c r="W3" s="7">
        <v>1650.0</v>
      </c>
      <c r="X3" s="6" t="s">
        <v>26</v>
      </c>
      <c r="Y3" s="6" t="s">
        <v>26</v>
      </c>
      <c r="Z3" s="7">
        <v>100.0</v>
      </c>
      <c r="AA3" s="6" t="s">
        <v>26</v>
      </c>
    </row>
    <row r="4">
      <c r="A4" s="4" t="s">
        <v>28</v>
      </c>
      <c r="B4" s="5">
        <v>0.0</v>
      </c>
      <c r="C4" s="5">
        <v>100.0</v>
      </c>
      <c r="D4" s="5">
        <v>0.0</v>
      </c>
      <c r="E4" s="5">
        <v>0.0</v>
      </c>
      <c r="F4" s="5">
        <v>100.0</v>
      </c>
      <c r="G4" s="6" t="s">
        <v>26</v>
      </c>
      <c r="H4" s="6" t="s">
        <v>26</v>
      </c>
      <c r="I4" s="5">
        <v>480.0</v>
      </c>
      <c r="J4" s="5">
        <v>230.0</v>
      </c>
      <c r="K4" s="5">
        <v>100.0</v>
      </c>
      <c r="L4" s="5">
        <v>200.0</v>
      </c>
      <c r="M4" s="5">
        <v>200.0</v>
      </c>
      <c r="N4" s="5">
        <v>330.0</v>
      </c>
      <c r="O4" s="6" t="s">
        <v>26</v>
      </c>
      <c r="P4" s="5">
        <v>300.0</v>
      </c>
      <c r="Q4" s="5">
        <v>300.0</v>
      </c>
      <c r="R4" s="5">
        <v>450.0</v>
      </c>
      <c r="S4" s="5">
        <v>600.0</v>
      </c>
      <c r="T4" s="6" t="s">
        <v>26</v>
      </c>
      <c r="U4" s="5">
        <v>400.0</v>
      </c>
      <c r="V4" s="5">
        <v>500.0</v>
      </c>
      <c r="W4" s="5">
        <v>1080.0</v>
      </c>
      <c r="X4" s="6" t="s">
        <v>26</v>
      </c>
      <c r="Y4" s="6" t="s">
        <v>26</v>
      </c>
      <c r="Z4" s="5">
        <v>100.0</v>
      </c>
      <c r="AA4" s="7">
        <v>100.0</v>
      </c>
    </row>
    <row r="5">
      <c r="A5" s="4" t="s">
        <v>29</v>
      </c>
      <c r="B5" s="8">
        <f t="shared" ref="B5:D5" si="1">SUM(B2:B4)</f>
        <v>0</v>
      </c>
      <c r="C5" s="9">
        <f t="shared" si="1"/>
        <v>100</v>
      </c>
      <c r="D5" s="8">
        <f t="shared" si="1"/>
        <v>300</v>
      </c>
      <c r="E5" s="8">
        <f>SUM(E2,E4)</f>
        <v>530</v>
      </c>
      <c r="F5" s="10">
        <f t="shared" ref="F5:Y5" si="2">SUM(F2:F4)</f>
        <v>600</v>
      </c>
      <c r="G5" s="8">
        <f t="shared" si="2"/>
        <v>0</v>
      </c>
      <c r="H5" s="8">
        <f t="shared" si="2"/>
        <v>100</v>
      </c>
      <c r="I5" s="8">
        <f t="shared" si="2"/>
        <v>1140</v>
      </c>
      <c r="J5" s="9">
        <f t="shared" si="2"/>
        <v>860</v>
      </c>
      <c r="K5" s="8">
        <f t="shared" si="2"/>
        <v>880</v>
      </c>
      <c r="L5" s="8">
        <f t="shared" si="2"/>
        <v>300</v>
      </c>
      <c r="M5" s="9">
        <f t="shared" si="2"/>
        <v>680</v>
      </c>
      <c r="N5" s="8">
        <f t="shared" si="2"/>
        <v>940</v>
      </c>
      <c r="O5" s="8">
        <f t="shared" si="2"/>
        <v>410</v>
      </c>
      <c r="P5" s="8">
        <f t="shared" si="2"/>
        <v>2800</v>
      </c>
      <c r="Q5" s="9">
        <f t="shared" si="2"/>
        <v>600</v>
      </c>
      <c r="R5" s="8">
        <f t="shared" si="2"/>
        <v>1950</v>
      </c>
      <c r="S5" s="8">
        <f t="shared" si="2"/>
        <v>1850</v>
      </c>
      <c r="T5" s="8">
        <f t="shared" si="2"/>
        <v>500</v>
      </c>
      <c r="U5" s="8">
        <f t="shared" si="2"/>
        <v>1400</v>
      </c>
      <c r="V5" s="9">
        <f t="shared" si="2"/>
        <v>3350</v>
      </c>
      <c r="W5" s="8">
        <f t="shared" si="2"/>
        <v>4430</v>
      </c>
      <c r="X5" s="8">
        <f t="shared" si="2"/>
        <v>350</v>
      </c>
      <c r="Y5" s="8">
        <f t="shared" si="2"/>
        <v>550</v>
      </c>
      <c r="Z5" s="11">
        <v>200.0</v>
      </c>
      <c r="AA5" s="12">
        <v>100.0</v>
      </c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3" t="s">
        <v>30</v>
      </c>
      <c r="B7" s="13"/>
      <c r="C7" s="14">
        <f>SUM(B5:AA5)</f>
        <v>24920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1.13"/>
    <col customWidth="1" min="2" max="2" width="16.38"/>
    <col customWidth="1" min="3" max="3" width="97.63"/>
    <col customWidth="1" min="4" max="23" width="7.25"/>
    <col customWidth="1" min="24" max="24" width="28.25"/>
    <col customWidth="1" min="25" max="35" width="81.75"/>
  </cols>
  <sheetData>
    <row r="1">
      <c r="A1" s="15" t="s">
        <v>31</v>
      </c>
      <c r="B1" s="16"/>
      <c r="C1" s="16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</row>
    <row r="2" ht="13.5" customHeight="1">
      <c r="A2" s="17"/>
      <c r="B2" s="17"/>
      <c r="C2" s="17"/>
      <c r="D2" s="18" t="s">
        <v>32</v>
      </c>
      <c r="E2" s="19"/>
      <c r="F2" s="19"/>
      <c r="G2" s="19"/>
      <c r="H2" s="19"/>
      <c r="I2" s="19"/>
      <c r="J2" s="18"/>
      <c r="K2" s="18"/>
      <c r="L2" s="20" t="s">
        <v>33</v>
      </c>
      <c r="M2" s="19"/>
      <c r="N2" s="19"/>
      <c r="O2" s="19"/>
      <c r="P2" s="19"/>
      <c r="Q2" s="19"/>
      <c r="R2" s="19"/>
      <c r="S2" s="19"/>
      <c r="T2" s="19"/>
      <c r="U2" s="19"/>
      <c r="V2" s="19"/>
      <c r="W2" s="21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</row>
    <row r="3" ht="14.25" customHeight="1">
      <c r="A3" s="22" t="s">
        <v>34</v>
      </c>
      <c r="B3" s="22" t="s">
        <v>35</v>
      </c>
      <c r="C3" s="22" t="s">
        <v>36</v>
      </c>
      <c r="D3" s="23" t="s">
        <v>0</v>
      </c>
      <c r="E3" s="23" t="s">
        <v>2</v>
      </c>
      <c r="F3" s="23" t="s">
        <v>4</v>
      </c>
      <c r="G3" s="24" t="s">
        <v>37</v>
      </c>
      <c r="H3" s="23" t="s">
        <v>6</v>
      </c>
      <c r="I3" s="23" t="s">
        <v>7</v>
      </c>
      <c r="J3" s="24" t="s">
        <v>10</v>
      </c>
      <c r="K3" s="24" t="s">
        <v>13</v>
      </c>
      <c r="L3" s="25" t="s">
        <v>8</v>
      </c>
      <c r="M3" s="25" t="s">
        <v>9</v>
      </c>
      <c r="N3" s="25" t="s">
        <v>11</v>
      </c>
      <c r="O3" s="25" t="s">
        <v>12</v>
      </c>
      <c r="P3" s="25" t="s">
        <v>15</v>
      </c>
      <c r="Q3" s="25" t="s">
        <v>16</v>
      </c>
      <c r="R3" s="25" t="s">
        <v>17</v>
      </c>
      <c r="S3" s="25" t="s">
        <v>19</v>
      </c>
      <c r="T3" s="25" t="s">
        <v>20</v>
      </c>
      <c r="U3" s="25" t="s">
        <v>22</v>
      </c>
      <c r="V3" s="25" t="s">
        <v>23</v>
      </c>
      <c r="W3" s="26" t="s">
        <v>24</v>
      </c>
      <c r="X3" s="22" t="s">
        <v>34</v>
      </c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</row>
    <row r="4" ht="14.25" customHeight="1">
      <c r="A4" s="27" t="s">
        <v>38</v>
      </c>
      <c r="B4" s="28" t="s">
        <v>39</v>
      </c>
      <c r="C4" s="28" t="s">
        <v>40</v>
      </c>
      <c r="D4" s="29">
        <v>36.0</v>
      </c>
      <c r="E4" s="29"/>
      <c r="F4" s="29"/>
      <c r="G4" s="29"/>
      <c r="H4" s="30"/>
      <c r="I4" s="29"/>
      <c r="J4" s="29"/>
      <c r="K4" s="29"/>
      <c r="L4" s="30"/>
      <c r="M4" s="29"/>
      <c r="N4" s="29"/>
      <c r="O4" s="29"/>
      <c r="P4" s="29"/>
      <c r="Q4" s="30"/>
      <c r="R4" s="29"/>
      <c r="S4" s="1"/>
      <c r="T4" s="29"/>
      <c r="U4" s="29"/>
      <c r="V4" s="30"/>
      <c r="W4" s="30"/>
      <c r="X4" s="27" t="s">
        <v>38</v>
      </c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4.25" customHeight="1">
      <c r="A5" s="27" t="s">
        <v>41</v>
      </c>
      <c r="B5" s="28" t="s">
        <v>42</v>
      </c>
      <c r="C5" s="28" t="s">
        <v>43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30"/>
      <c r="R5" s="29"/>
      <c r="S5" s="31"/>
      <c r="T5" s="29"/>
      <c r="U5" s="29"/>
      <c r="V5" s="29"/>
      <c r="W5" s="29"/>
      <c r="X5" s="27" t="s">
        <v>41</v>
      </c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</row>
    <row r="6" ht="14.25" customHeight="1">
      <c r="A6" s="27" t="s">
        <v>44</v>
      </c>
      <c r="B6" s="28" t="s">
        <v>45</v>
      </c>
      <c r="C6" s="28"/>
      <c r="D6" s="29"/>
      <c r="E6" s="29"/>
      <c r="F6" s="29"/>
      <c r="G6" s="30"/>
      <c r="H6" s="30"/>
      <c r="I6" s="30"/>
      <c r="J6" s="30"/>
      <c r="K6" s="30"/>
      <c r="L6" s="30"/>
      <c r="M6" s="30"/>
      <c r="N6" s="30"/>
      <c r="O6" s="29"/>
      <c r="P6" s="29"/>
      <c r="Q6" s="30"/>
      <c r="R6" s="30"/>
      <c r="S6" s="1"/>
      <c r="T6" s="29"/>
      <c r="U6" s="30"/>
      <c r="V6" s="29"/>
      <c r="W6" s="29"/>
      <c r="X6" s="27" t="s">
        <v>44</v>
      </c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</row>
    <row r="7">
      <c r="A7" s="27" t="s">
        <v>46</v>
      </c>
      <c r="B7" s="28" t="s">
        <v>47</v>
      </c>
      <c r="C7" s="28"/>
      <c r="D7" s="29"/>
      <c r="E7" s="29"/>
      <c r="F7" s="30"/>
      <c r="G7" s="30"/>
      <c r="H7" s="30"/>
      <c r="I7" s="30"/>
      <c r="J7" s="30"/>
      <c r="K7" s="30"/>
      <c r="L7" s="30"/>
      <c r="M7" s="29"/>
      <c r="N7" s="30"/>
      <c r="O7" s="29"/>
      <c r="P7" s="30"/>
      <c r="Q7" s="30"/>
      <c r="R7" s="30"/>
      <c r="S7" s="1"/>
      <c r="T7" s="29"/>
      <c r="U7" s="30"/>
      <c r="V7" s="30"/>
      <c r="W7" s="30"/>
      <c r="X7" s="27" t="s">
        <v>46</v>
      </c>
      <c r="Y7" s="32"/>
      <c r="Z7" s="17"/>
      <c r="AA7" s="17"/>
      <c r="AB7" s="17"/>
      <c r="AC7" s="17"/>
      <c r="AD7" s="17"/>
      <c r="AE7" s="17"/>
      <c r="AF7" s="17"/>
      <c r="AG7" s="17"/>
      <c r="AH7" s="17"/>
      <c r="AI7" s="17"/>
    </row>
    <row r="8" ht="14.25" customHeight="1">
      <c r="A8" s="27" t="s">
        <v>48</v>
      </c>
      <c r="B8" s="28" t="s">
        <v>49</v>
      </c>
      <c r="C8" s="28" t="s">
        <v>50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1"/>
      <c r="T8" s="29"/>
      <c r="U8" s="30"/>
      <c r="V8" s="30"/>
      <c r="W8" s="30"/>
      <c r="X8" s="27" t="s">
        <v>48</v>
      </c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</row>
    <row r="9">
      <c r="A9" s="27" t="s">
        <v>51</v>
      </c>
      <c r="B9" s="28" t="s">
        <v>52</v>
      </c>
      <c r="C9" s="28" t="s">
        <v>53</v>
      </c>
      <c r="D9" s="30"/>
      <c r="E9" s="29"/>
      <c r="F9" s="30"/>
      <c r="G9" s="30"/>
      <c r="H9" s="30"/>
      <c r="I9" s="29"/>
      <c r="J9" s="29"/>
      <c r="K9" s="29"/>
      <c r="L9" s="30"/>
      <c r="M9" s="29"/>
      <c r="N9" s="29"/>
      <c r="O9" s="30"/>
      <c r="P9" s="30"/>
      <c r="Q9" s="30"/>
      <c r="R9" s="29"/>
      <c r="S9" s="1"/>
      <c r="T9" s="29"/>
      <c r="U9" s="30"/>
      <c r="V9" s="30"/>
      <c r="W9" s="30"/>
      <c r="X9" s="27" t="s">
        <v>51</v>
      </c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</row>
    <row r="10" ht="14.25" customHeight="1">
      <c r="A10" s="27" t="s">
        <v>54</v>
      </c>
      <c r="B10" s="28" t="s">
        <v>55</v>
      </c>
      <c r="C10" s="28" t="s">
        <v>56</v>
      </c>
      <c r="D10" s="29"/>
      <c r="E10" s="29"/>
      <c r="F10" s="30"/>
      <c r="G10" s="29"/>
      <c r="H10" s="30"/>
      <c r="I10" s="29"/>
      <c r="J10" s="29"/>
      <c r="K10" s="29"/>
      <c r="L10" s="29"/>
      <c r="M10" s="29"/>
      <c r="N10" s="30"/>
      <c r="O10" s="29"/>
      <c r="P10" s="29"/>
      <c r="Q10" s="30"/>
      <c r="R10" s="29"/>
      <c r="S10" s="31">
        <f>15.57+(112/50)</f>
        <v>17.81</v>
      </c>
      <c r="T10" s="29"/>
      <c r="U10" s="33"/>
      <c r="V10" s="33"/>
      <c r="W10" s="33"/>
      <c r="X10" s="27" t="s">
        <v>57</v>
      </c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</row>
    <row r="11" ht="14.25" customHeight="1">
      <c r="A11" s="27" t="s">
        <v>58</v>
      </c>
      <c r="B11" s="28" t="s">
        <v>59</v>
      </c>
      <c r="C11" s="28" t="s">
        <v>60</v>
      </c>
      <c r="D11" s="30"/>
      <c r="E11" s="29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1"/>
      <c r="T11" s="30"/>
      <c r="U11" s="30"/>
      <c r="V11" s="30"/>
      <c r="W11" s="30"/>
      <c r="X11" s="27" t="s">
        <v>58</v>
      </c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</row>
    <row r="12" ht="14.25" customHeight="1">
      <c r="A12" s="27" t="s">
        <v>61</v>
      </c>
      <c r="B12" s="28" t="s">
        <v>62</v>
      </c>
      <c r="C12" s="28" t="s">
        <v>63</v>
      </c>
      <c r="D12" s="30"/>
      <c r="E12" s="30"/>
      <c r="F12" s="30"/>
      <c r="G12" s="30"/>
      <c r="H12" s="30"/>
      <c r="I12" s="29"/>
      <c r="J12" s="29"/>
      <c r="K12" s="29"/>
      <c r="L12" s="30"/>
      <c r="M12" s="30"/>
      <c r="N12" s="30"/>
      <c r="O12" s="30"/>
      <c r="P12" s="30"/>
      <c r="Q12" s="30"/>
      <c r="R12" s="30"/>
      <c r="S12" s="34"/>
      <c r="T12" s="30"/>
      <c r="U12" s="30"/>
      <c r="V12" s="30"/>
      <c r="W12" s="30"/>
      <c r="X12" s="27" t="s">
        <v>61</v>
      </c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</row>
    <row r="13" ht="14.25" customHeight="1">
      <c r="A13" s="27" t="s">
        <v>64</v>
      </c>
      <c r="B13" s="28" t="s">
        <v>65</v>
      </c>
      <c r="C13" s="17" t="s">
        <v>66</v>
      </c>
      <c r="D13" s="30"/>
      <c r="E13" s="30"/>
      <c r="F13" s="30"/>
      <c r="G13" s="30"/>
      <c r="H13" s="30"/>
      <c r="I13" s="29"/>
      <c r="J13" s="29"/>
      <c r="K13" s="29"/>
      <c r="L13" s="29"/>
      <c r="M13" s="30"/>
      <c r="N13" s="30"/>
      <c r="O13" s="30"/>
      <c r="P13" s="30"/>
      <c r="Q13" s="30"/>
      <c r="R13" s="29"/>
      <c r="S13" s="1"/>
      <c r="T13" s="30"/>
      <c r="U13" s="29"/>
      <c r="V13" s="30"/>
      <c r="W13" s="30"/>
      <c r="X13" s="27" t="s">
        <v>64</v>
      </c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</row>
    <row r="14" ht="14.25" customHeight="1">
      <c r="A14" s="27" t="s">
        <v>67</v>
      </c>
      <c r="B14" s="28" t="s">
        <v>68</v>
      </c>
      <c r="C14" s="35" t="s">
        <v>69</v>
      </c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1"/>
      <c r="T14" s="30"/>
      <c r="U14" s="30"/>
      <c r="V14" s="30"/>
      <c r="W14" s="30"/>
      <c r="X14" s="27" t="s">
        <v>67</v>
      </c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</row>
    <row r="15">
      <c r="A15" s="27" t="s">
        <v>70</v>
      </c>
      <c r="B15" s="28" t="s">
        <v>71</v>
      </c>
      <c r="C15" s="36" t="s">
        <v>72</v>
      </c>
      <c r="D15" s="29"/>
      <c r="E15" s="29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29"/>
      <c r="S15" s="1"/>
      <c r="T15" s="30"/>
      <c r="U15" s="30"/>
      <c r="V15" s="30"/>
      <c r="W15" s="30"/>
      <c r="X15" s="27" t="s">
        <v>70</v>
      </c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</row>
    <row r="16">
      <c r="A16" s="27" t="s">
        <v>73</v>
      </c>
      <c r="B16" s="28" t="s">
        <v>74</v>
      </c>
      <c r="C16" s="36"/>
      <c r="D16" s="29"/>
      <c r="E16" s="30"/>
      <c r="F16" s="30"/>
      <c r="G16" s="30"/>
      <c r="H16" s="30"/>
      <c r="I16" s="30"/>
      <c r="J16" s="30"/>
      <c r="K16" s="30"/>
      <c r="L16" s="29"/>
      <c r="M16" s="29"/>
      <c r="N16" s="30"/>
      <c r="O16" s="30"/>
      <c r="P16" s="29"/>
      <c r="Q16" s="30"/>
      <c r="R16" s="29"/>
      <c r="S16" s="1"/>
      <c r="T16" s="30"/>
      <c r="U16" s="29"/>
      <c r="V16" s="30"/>
      <c r="W16" s="30"/>
      <c r="X16" s="27" t="s">
        <v>73</v>
      </c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</row>
    <row r="17" ht="14.25" customHeight="1">
      <c r="A17" s="27" t="s">
        <v>75</v>
      </c>
      <c r="B17" s="28" t="s">
        <v>76</v>
      </c>
      <c r="C17" s="28" t="s">
        <v>77</v>
      </c>
      <c r="D17" s="29"/>
      <c r="E17" s="29"/>
      <c r="F17" s="30"/>
      <c r="G17" s="30"/>
      <c r="H17" s="30"/>
      <c r="I17" s="29"/>
      <c r="J17" s="29"/>
      <c r="K17" s="29"/>
      <c r="L17" s="29"/>
      <c r="M17" s="29"/>
      <c r="N17" s="30"/>
      <c r="O17" s="29"/>
      <c r="P17" s="29"/>
      <c r="Q17" s="30"/>
      <c r="R17" s="29"/>
      <c r="S17" s="34"/>
      <c r="T17" s="29"/>
      <c r="U17" s="30"/>
      <c r="V17" s="30"/>
      <c r="W17" s="30"/>
      <c r="X17" s="27" t="s">
        <v>75</v>
      </c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</row>
    <row r="18" ht="14.25" customHeight="1">
      <c r="A18" s="27" t="s">
        <v>78</v>
      </c>
      <c r="B18" s="28" t="s">
        <v>76</v>
      </c>
      <c r="C18" s="28"/>
      <c r="D18" s="29"/>
      <c r="E18" s="29"/>
      <c r="F18" s="30"/>
      <c r="G18" s="30"/>
      <c r="H18" s="30"/>
      <c r="I18" s="30"/>
      <c r="J18" s="30"/>
      <c r="K18" s="30"/>
      <c r="L18" s="29"/>
      <c r="M18" s="30"/>
      <c r="N18" s="30"/>
      <c r="O18" s="29"/>
      <c r="P18" s="29"/>
      <c r="Q18" s="30"/>
      <c r="R18" s="29"/>
      <c r="S18" s="34"/>
      <c r="T18" s="29"/>
      <c r="U18" s="29"/>
      <c r="V18" s="30"/>
      <c r="W18" s="30"/>
      <c r="X18" s="27" t="s">
        <v>78</v>
      </c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</row>
    <row r="19" ht="14.25" customHeight="1">
      <c r="A19" s="27" t="s">
        <v>79</v>
      </c>
      <c r="B19" s="28" t="s">
        <v>80</v>
      </c>
      <c r="C19" s="17" t="s">
        <v>81</v>
      </c>
      <c r="D19" s="29"/>
      <c r="E19" s="29"/>
      <c r="F19" s="30"/>
      <c r="G19" s="30"/>
      <c r="H19" s="30"/>
      <c r="I19" s="30"/>
      <c r="J19" s="30"/>
      <c r="K19" s="30"/>
      <c r="L19" s="29"/>
      <c r="M19" s="30"/>
      <c r="N19" s="30"/>
      <c r="O19" s="29"/>
      <c r="P19" s="29"/>
      <c r="Q19" s="30"/>
      <c r="R19" s="30"/>
      <c r="S19" s="1"/>
      <c r="T19" s="30"/>
      <c r="U19" s="30"/>
      <c r="V19" s="30"/>
      <c r="W19" s="30"/>
      <c r="X19" s="27" t="s">
        <v>79</v>
      </c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</row>
    <row r="20" ht="14.25" customHeight="1">
      <c r="A20" s="27" t="s">
        <v>82</v>
      </c>
      <c r="B20" s="28" t="s">
        <v>80</v>
      </c>
      <c r="C20" s="17" t="s">
        <v>83</v>
      </c>
      <c r="D20" s="29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29"/>
      <c r="Q20" s="30"/>
      <c r="R20" s="30"/>
      <c r="S20" s="1"/>
      <c r="T20" s="30"/>
      <c r="U20" s="30"/>
      <c r="V20" s="30"/>
      <c r="W20" s="30"/>
      <c r="X20" s="27" t="s">
        <v>82</v>
      </c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</row>
    <row r="21" ht="14.25" customHeight="1">
      <c r="A21" s="27" t="s">
        <v>84</v>
      </c>
      <c r="B21" s="28" t="s">
        <v>76</v>
      </c>
      <c r="C21" s="17" t="s">
        <v>85</v>
      </c>
      <c r="D21" s="29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29"/>
      <c r="P21" s="30"/>
      <c r="Q21" s="30"/>
      <c r="R21" s="29"/>
      <c r="S21" s="34"/>
      <c r="T21" s="30"/>
      <c r="U21" s="29"/>
      <c r="V21" s="30"/>
      <c r="W21" s="30"/>
      <c r="X21" s="27" t="s">
        <v>84</v>
      </c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</row>
    <row r="22" ht="14.25" customHeight="1">
      <c r="A22" s="27" t="s">
        <v>86</v>
      </c>
      <c r="B22" s="28" t="s">
        <v>87</v>
      </c>
      <c r="C22" s="28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29"/>
      <c r="Q22" s="30"/>
      <c r="R22" s="30"/>
      <c r="S22" s="1"/>
      <c r="T22" s="30"/>
      <c r="U22" s="30"/>
      <c r="V22" s="30"/>
      <c r="W22" s="30"/>
      <c r="X22" s="27" t="s">
        <v>86</v>
      </c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</row>
    <row r="23" ht="14.25" customHeight="1">
      <c r="A23" s="27" t="s">
        <v>88</v>
      </c>
      <c r="B23" s="28" t="s">
        <v>76</v>
      </c>
      <c r="C23" s="28"/>
      <c r="D23" s="29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1"/>
      <c r="T23" s="30"/>
      <c r="U23" s="30"/>
      <c r="V23" s="30"/>
      <c r="W23" s="30"/>
      <c r="X23" s="27" t="s">
        <v>88</v>
      </c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</row>
    <row r="24" ht="14.25" customHeight="1">
      <c r="A24" s="27" t="s">
        <v>89</v>
      </c>
      <c r="B24" s="28" t="s">
        <v>90</v>
      </c>
      <c r="C24" s="28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1"/>
      <c r="T24" s="30"/>
      <c r="U24" s="30"/>
      <c r="V24" s="30"/>
      <c r="W24" s="30"/>
      <c r="X24" s="27" t="s">
        <v>89</v>
      </c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</row>
    <row r="25" ht="14.25" customHeight="1">
      <c r="A25" s="27" t="s">
        <v>91</v>
      </c>
      <c r="B25" s="28" t="s">
        <v>76</v>
      </c>
      <c r="C25" s="28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1"/>
      <c r="T25" s="30"/>
      <c r="U25" s="30"/>
      <c r="V25" s="30"/>
      <c r="W25" s="30"/>
      <c r="X25" s="27" t="s">
        <v>91</v>
      </c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</row>
    <row r="26" ht="14.25" customHeight="1">
      <c r="A26" s="27" t="s">
        <v>92</v>
      </c>
      <c r="B26" s="28" t="s">
        <v>93</v>
      </c>
      <c r="C26" s="28"/>
      <c r="D26" s="29"/>
      <c r="E26" s="29"/>
      <c r="F26" s="30"/>
      <c r="G26" s="30"/>
      <c r="H26" s="30"/>
      <c r="I26" s="29"/>
      <c r="J26" s="29"/>
      <c r="K26" s="29"/>
      <c r="L26" s="30"/>
      <c r="M26" s="30"/>
      <c r="N26" s="30"/>
      <c r="O26" s="29"/>
      <c r="P26" s="30"/>
      <c r="Q26" s="30"/>
      <c r="R26" s="29"/>
      <c r="S26" s="1"/>
      <c r="T26" s="29"/>
      <c r="U26" s="30"/>
      <c r="V26" s="30"/>
      <c r="W26" s="30"/>
      <c r="X26" s="27" t="s">
        <v>92</v>
      </c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</row>
    <row r="27" ht="14.25" customHeight="1">
      <c r="A27" s="27" t="s">
        <v>94</v>
      </c>
      <c r="B27" s="28" t="s">
        <v>90</v>
      </c>
      <c r="C27" s="28"/>
      <c r="D27" s="30"/>
      <c r="E27" s="29"/>
      <c r="F27" s="30"/>
      <c r="G27" s="30"/>
      <c r="H27" s="30"/>
      <c r="I27" s="30"/>
      <c r="J27" s="30"/>
      <c r="K27" s="30"/>
      <c r="L27" s="29"/>
      <c r="M27" s="30"/>
      <c r="N27" s="30"/>
      <c r="O27" s="30"/>
      <c r="P27" s="30"/>
      <c r="Q27" s="30"/>
      <c r="R27" s="29"/>
      <c r="S27" s="1"/>
      <c r="T27" s="30"/>
      <c r="U27" s="30"/>
      <c r="V27" s="30"/>
      <c r="W27" s="30"/>
      <c r="X27" s="27" t="s">
        <v>94</v>
      </c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</row>
    <row r="28" ht="14.25" customHeight="1">
      <c r="A28" s="27" t="s">
        <v>95</v>
      </c>
      <c r="B28" s="28" t="s">
        <v>76</v>
      </c>
      <c r="C28" s="28"/>
      <c r="D28" s="30"/>
      <c r="E28" s="30"/>
      <c r="F28" s="1"/>
      <c r="G28" s="30"/>
      <c r="H28" s="30"/>
      <c r="I28" s="30"/>
      <c r="J28" s="30"/>
      <c r="K28" s="30"/>
      <c r="L28" s="29"/>
      <c r="M28" s="30"/>
      <c r="N28" s="30"/>
      <c r="O28" s="30"/>
      <c r="P28" s="30"/>
      <c r="Q28" s="30"/>
      <c r="R28" s="30"/>
      <c r="S28" s="1"/>
      <c r="T28" s="30"/>
      <c r="U28" s="30"/>
      <c r="V28" s="30"/>
      <c r="W28" s="30"/>
      <c r="X28" s="27" t="s">
        <v>95</v>
      </c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</row>
    <row r="29" ht="14.25" customHeight="1">
      <c r="A29" s="37" t="s">
        <v>96</v>
      </c>
      <c r="B29" s="38" t="s">
        <v>97</v>
      </c>
      <c r="C29" s="28"/>
      <c r="D29" s="29"/>
      <c r="E29" s="30"/>
      <c r="F29" s="1"/>
      <c r="G29" s="30"/>
      <c r="H29" s="30"/>
      <c r="I29" s="30"/>
      <c r="J29" s="30"/>
      <c r="K29" s="30"/>
      <c r="L29" s="29"/>
      <c r="M29" s="30"/>
      <c r="N29" s="30"/>
      <c r="O29" s="30"/>
      <c r="P29" s="29"/>
      <c r="Q29" s="30"/>
      <c r="R29" s="30"/>
      <c r="S29" s="1"/>
      <c r="T29" s="30"/>
      <c r="U29" s="30"/>
      <c r="V29" s="30"/>
      <c r="W29" s="30"/>
      <c r="X29" s="37" t="s">
        <v>96</v>
      </c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</row>
    <row r="30" ht="13.5" customHeight="1">
      <c r="A30" s="27" t="s">
        <v>98</v>
      </c>
      <c r="B30" s="28" t="s">
        <v>99</v>
      </c>
      <c r="C30" s="17" t="s">
        <v>100</v>
      </c>
      <c r="D30" s="29"/>
      <c r="E30" s="29"/>
      <c r="F30" s="30"/>
      <c r="G30" s="29"/>
      <c r="H30" s="29"/>
      <c r="I30" s="30"/>
      <c r="J30" s="30"/>
      <c r="K30" s="30"/>
      <c r="L30" s="29"/>
      <c r="M30" s="29"/>
      <c r="N30" s="30"/>
      <c r="O30" s="29"/>
      <c r="P30" s="29"/>
      <c r="Q30" s="30"/>
      <c r="R30" s="29"/>
      <c r="S30" s="34"/>
      <c r="T30" s="29"/>
      <c r="U30" s="29"/>
      <c r="V30" s="29"/>
      <c r="W30" s="29"/>
      <c r="X30" s="27" t="s">
        <v>98</v>
      </c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</row>
    <row r="31" ht="14.25" customHeight="1">
      <c r="A31" s="27" t="s">
        <v>101</v>
      </c>
      <c r="B31" s="28" t="s">
        <v>102</v>
      </c>
      <c r="C31" s="28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29"/>
      <c r="S31" s="1">
        <f>30</f>
        <v>30</v>
      </c>
      <c r="T31" s="30"/>
      <c r="U31" s="30"/>
      <c r="V31" s="30"/>
      <c r="W31" s="30"/>
      <c r="X31" s="27" t="s">
        <v>101</v>
      </c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</row>
    <row r="32" ht="15.75" customHeight="1">
      <c r="A32" s="27" t="s">
        <v>103</v>
      </c>
      <c r="B32" s="28" t="s">
        <v>99</v>
      </c>
      <c r="C32" s="17" t="s">
        <v>104</v>
      </c>
      <c r="D32" s="29"/>
      <c r="E32" s="29"/>
      <c r="F32" s="30"/>
      <c r="G32" s="30"/>
      <c r="H32" s="30"/>
      <c r="I32" s="29"/>
      <c r="J32" s="29"/>
      <c r="K32" s="29"/>
      <c r="L32" s="29"/>
      <c r="M32" s="29"/>
      <c r="N32" s="29"/>
      <c r="O32" s="39"/>
      <c r="P32" s="30"/>
      <c r="Q32" s="30"/>
      <c r="R32" s="29">
        <v>40.0</v>
      </c>
      <c r="S32" s="31"/>
      <c r="T32" s="29"/>
      <c r="U32" s="29"/>
      <c r="V32" s="30"/>
      <c r="W32" s="30"/>
      <c r="X32" s="27" t="s">
        <v>103</v>
      </c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</row>
    <row r="33" ht="15.75" customHeight="1">
      <c r="A33" s="40" t="s">
        <v>105</v>
      </c>
      <c r="B33" s="28" t="s">
        <v>106</v>
      </c>
      <c r="C33" s="28" t="s">
        <v>107</v>
      </c>
      <c r="D33" s="29"/>
      <c r="E33" s="30"/>
      <c r="F33" s="30"/>
      <c r="G33" s="30"/>
      <c r="H33" s="30"/>
      <c r="I33" s="30"/>
      <c r="J33" s="29"/>
      <c r="K33" s="30"/>
      <c r="L33" s="30"/>
      <c r="M33" s="29"/>
      <c r="N33" s="29"/>
      <c r="O33" s="30"/>
      <c r="P33" s="29"/>
      <c r="Q33" s="30"/>
      <c r="R33" s="30"/>
      <c r="S33" s="1"/>
      <c r="T33" s="30"/>
      <c r="U33" s="30"/>
      <c r="V33" s="30"/>
      <c r="W33" s="30"/>
      <c r="X33" s="40" t="s">
        <v>105</v>
      </c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</row>
    <row r="34" ht="15.75" customHeight="1">
      <c r="A34" s="27" t="s">
        <v>108</v>
      </c>
      <c r="B34" s="28" t="s">
        <v>109</v>
      </c>
      <c r="C34" s="17" t="s">
        <v>110</v>
      </c>
      <c r="D34" s="29"/>
      <c r="E34" s="29"/>
      <c r="F34" s="30"/>
      <c r="G34" s="30"/>
      <c r="H34" s="30"/>
      <c r="I34" s="29"/>
      <c r="J34" s="29"/>
      <c r="K34" s="29"/>
      <c r="L34" s="29"/>
      <c r="M34" s="29"/>
      <c r="N34" s="29"/>
      <c r="O34" s="29"/>
      <c r="P34" s="29"/>
      <c r="Q34" s="30"/>
      <c r="R34" s="29"/>
      <c r="S34" s="30"/>
      <c r="T34" s="30"/>
      <c r="U34" s="29"/>
      <c r="V34" s="30"/>
      <c r="W34" s="30"/>
      <c r="X34" s="27" t="s">
        <v>108</v>
      </c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</row>
    <row r="35" ht="15.75" customHeight="1">
      <c r="A35" s="27" t="s">
        <v>111</v>
      </c>
      <c r="B35" s="28" t="s">
        <v>112</v>
      </c>
      <c r="C35" s="17" t="s">
        <v>113</v>
      </c>
      <c r="D35" s="34"/>
      <c r="E35" s="34"/>
      <c r="F35" s="34"/>
      <c r="G35" s="34"/>
      <c r="H35" s="34"/>
      <c r="I35" s="31"/>
      <c r="J35" s="31"/>
      <c r="K35" s="31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27" t="s">
        <v>111</v>
      </c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</row>
    <row r="36" ht="15.75" customHeight="1">
      <c r="A36" s="27" t="s">
        <v>114</v>
      </c>
      <c r="B36" s="28">
        <v>1.25</v>
      </c>
      <c r="C36" s="17"/>
      <c r="D36" s="17"/>
      <c r="E36" s="17"/>
      <c r="F36" s="1"/>
      <c r="G36" s="30">
        <v>1.25</v>
      </c>
      <c r="H36" s="30">
        <v>1.25</v>
      </c>
      <c r="I36" s="30"/>
      <c r="J36" s="30">
        <v>1.25</v>
      </c>
      <c r="K36" s="17"/>
      <c r="L36" s="17"/>
      <c r="M36" s="17"/>
      <c r="N36" s="17">
        <v>1.25</v>
      </c>
      <c r="O36" s="17"/>
      <c r="P36" s="17">
        <v>1.25</v>
      </c>
      <c r="Q36" s="30"/>
      <c r="R36" s="17"/>
      <c r="S36" s="1"/>
      <c r="T36" s="30"/>
      <c r="U36" s="30">
        <v>1.25</v>
      </c>
      <c r="V36" s="30">
        <v>1.25</v>
      </c>
      <c r="W36" s="30">
        <v>1.25</v>
      </c>
      <c r="X36" s="27" t="s">
        <v>114</v>
      </c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</row>
    <row r="37" ht="14.25" customHeight="1">
      <c r="A37" s="22" t="s">
        <v>115</v>
      </c>
      <c r="B37" s="22"/>
      <c r="C37" s="41"/>
      <c r="D37" s="42">
        <f t="shared" ref="D37:F37" si="1">SUM(D4:D35)</f>
        <v>36</v>
      </c>
      <c r="E37" s="42">
        <f t="shared" si="1"/>
        <v>0</v>
      </c>
      <c r="F37" s="42">
        <f t="shared" si="1"/>
        <v>0</v>
      </c>
      <c r="G37" s="42">
        <f t="shared" ref="G37:H37" si="2">SUM(G4:G32)*G36+SUM(G33:G35)</f>
        <v>0</v>
      </c>
      <c r="H37" s="42">
        <f t="shared" si="2"/>
        <v>0</v>
      </c>
      <c r="I37" s="42">
        <f>SUM(I4:I35)</f>
        <v>0</v>
      </c>
      <c r="J37" s="42">
        <f>SUM(J4:J32)*J36+SUM(J33:J35)</f>
        <v>0</v>
      </c>
      <c r="K37" s="42">
        <f t="shared" ref="K37:M37" si="3">SUM(K4:K35)</f>
        <v>0</v>
      </c>
      <c r="L37" s="42">
        <f t="shared" si="3"/>
        <v>0</v>
      </c>
      <c r="M37" s="42">
        <f t="shared" si="3"/>
        <v>0</v>
      </c>
      <c r="N37" s="42">
        <f>SUM(N4:N32)*N36+SUM(N33:N35)</f>
        <v>0</v>
      </c>
      <c r="O37" s="42">
        <f>SUM(O4:O35)</f>
        <v>0</v>
      </c>
      <c r="P37" s="42">
        <f>SUM(P4:P32)*P36+SUM(P33:P35)</f>
        <v>0</v>
      </c>
      <c r="Q37" s="42">
        <f t="shared" ref="Q37:T37" si="4">SUM(Q4:Q35)</f>
        <v>0</v>
      </c>
      <c r="R37" s="42">
        <f t="shared" si="4"/>
        <v>40</v>
      </c>
      <c r="S37" s="42">
        <f t="shared" si="4"/>
        <v>47.81</v>
      </c>
      <c r="T37" s="42">
        <f t="shared" si="4"/>
        <v>0</v>
      </c>
      <c r="U37" s="42">
        <f t="shared" ref="U37:W37" si="5">SUM(U4:U32)*U36+SUM(U33:U35)</f>
        <v>0</v>
      </c>
      <c r="V37" s="42">
        <f t="shared" si="5"/>
        <v>0</v>
      </c>
      <c r="W37" s="42">
        <f t="shared" si="5"/>
        <v>0</v>
      </c>
      <c r="X37" s="22" t="s">
        <v>115</v>
      </c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</row>
    <row r="38" ht="14.25" customHeight="1">
      <c r="A38" s="43" t="s">
        <v>116</v>
      </c>
      <c r="B38" s="32"/>
      <c r="C38" s="44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6"/>
      <c r="S38" s="45"/>
      <c r="T38" s="45"/>
      <c r="U38" s="46"/>
      <c r="V38" s="45"/>
      <c r="W38" s="45"/>
      <c r="X38" s="43" t="s">
        <v>116</v>
      </c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</row>
    <row r="39" ht="14.25" customHeight="1">
      <c r="A39" s="43"/>
      <c r="B39" s="47"/>
      <c r="D39" s="33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</row>
    <row r="40" ht="14.2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</row>
    <row r="42" ht="14.2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</row>
    <row r="43" ht="14.2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</row>
    <row r="44" ht="14.2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</row>
    <row r="45" ht="14.2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</row>
    <row r="46" ht="14.2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</row>
    <row r="47" ht="14.2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</row>
    <row r="48" ht="14.2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</row>
    <row r="49" ht="14.2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</row>
    <row r="50" ht="14.2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</row>
    <row r="51" ht="14.2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</row>
    <row r="52" ht="14.2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</row>
    <row r="53" ht="14.2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</row>
    <row r="54" ht="14.2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</row>
    <row r="55" ht="14.2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</row>
    <row r="56" ht="14.2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</row>
    <row r="57" ht="14.2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</row>
    <row r="58" ht="14.2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>
        <v>60.0</v>
      </c>
      <c r="AB58" s="27" t="s">
        <v>51</v>
      </c>
      <c r="AC58" s="17"/>
      <c r="AD58" s="17"/>
      <c r="AE58" s="17"/>
      <c r="AF58" s="17"/>
      <c r="AG58" s="17"/>
      <c r="AH58" s="17"/>
      <c r="AI58" s="17"/>
    </row>
    <row r="59" ht="14.2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</row>
    <row r="60" ht="14.2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</row>
    <row r="61" ht="14.2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</row>
    <row r="62" ht="14.2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</row>
    <row r="63" ht="14.2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</row>
    <row r="64" ht="14.2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</row>
    <row r="65" ht="14.2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</row>
    <row r="66" ht="14.2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</row>
    <row r="67" ht="14.2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</row>
    <row r="68" ht="14.2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</row>
    <row r="69" ht="14.2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</row>
    <row r="70" ht="14.2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</row>
    <row r="71" ht="14.2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</row>
    <row r="72" ht="14.2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</row>
    <row r="73" ht="14.2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</row>
    <row r="74" ht="14.2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</row>
    <row r="75" ht="14.2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</row>
    <row r="76" ht="14.2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</row>
    <row r="77" ht="14.2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</row>
    <row r="78" ht="14.2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</row>
    <row r="79" ht="14.2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</row>
    <row r="80" ht="14.2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</row>
    <row r="81" ht="14.2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</row>
    <row r="82" ht="14.2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</row>
    <row r="83" ht="14.2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</row>
    <row r="84" ht="14.2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</row>
    <row r="85" ht="14.2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</row>
    <row r="86" ht="14.2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</row>
    <row r="87" ht="14.2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</row>
    <row r="88" ht="14.2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</row>
    <row r="89" ht="14.2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</row>
    <row r="90" ht="14.2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</row>
    <row r="91" ht="14.2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</row>
    <row r="92" ht="14.2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</row>
    <row r="93" ht="14.2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</row>
    <row r="94" ht="14.2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</row>
    <row r="95" ht="14.2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</row>
    <row r="96" ht="14.2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</row>
    <row r="97" ht="14.2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</row>
    <row r="98" ht="14.2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</row>
    <row r="99" ht="14.2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</row>
    <row r="100" ht="14.2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</row>
    <row r="101" ht="14.2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</row>
    <row r="102" ht="14.2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</row>
    <row r="103" ht="14.2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</row>
    <row r="104" ht="14.2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</row>
    <row r="105" ht="14.2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</row>
    <row r="106" ht="14.2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</row>
    <row r="107" ht="14.2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</row>
    <row r="108" ht="14.2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</row>
    <row r="109" ht="14.2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</row>
    <row r="110" ht="14.2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</row>
    <row r="111" ht="14.2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</row>
    <row r="112" ht="14.2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</row>
    <row r="113" ht="14.2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</row>
    <row r="114" ht="14.2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</row>
    <row r="115" ht="14.2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</row>
    <row r="116" ht="14.2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</row>
    <row r="117" ht="14.2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</row>
    <row r="118" ht="14.2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</row>
    <row r="119" ht="14.2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</row>
    <row r="120" ht="14.2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</row>
    <row r="121" ht="14.2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</row>
    <row r="122" ht="14.2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</row>
    <row r="123" ht="14.2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</row>
    <row r="124" ht="14.2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</row>
    <row r="125" ht="14.2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</row>
    <row r="126" ht="14.2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</row>
    <row r="127" ht="14.2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</row>
    <row r="128" ht="14.2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</row>
    <row r="129" ht="14.2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</row>
    <row r="130" ht="14.2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</row>
    <row r="131" ht="14.2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</row>
    <row r="132" ht="14.2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</row>
    <row r="133" ht="14.2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</row>
    <row r="134" ht="14.2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</row>
    <row r="135" ht="14.2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</row>
    <row r="136" ht="14.2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</row>
    <row r="137" ht="14.2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</row>
    <row r="138" ht="14.2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</row>
    <row r="139" ht="14.2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</row>
    <row r="140" ht="14.2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</row>
    <row r="141" ht="14.2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</row>
    <row r="142" ht="14.2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</row>
    <row r="143" ht="14.2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</row>
    <row r="144" ht="14.2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</row>
    <row r="145" ht="14.2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</row>
    <row r="146" ht="14.2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</row>
    <row r="147" ht="14.2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</row>
    <row r="148" ht="14.2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</row>
    <row r="149" ht="14.2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</row>
    <row r="150" ht="14.2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</row>
    <row r="151" ht="14.2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</row>
    <row r="152" ht="14.2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</row>
    <row r="153" ht="14.2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</row>
    <row r="154" ht="14.2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</row>
    <row r="155" ht="14.2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</row>
    <row r="156" ht="14.2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</row>
    <row r="157" ht="14.2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</row>
    <row r="158" ht="14.2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</row>
    <row r="159" ht="14.2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</row>
    <row r="160" ht="14.2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</row>
    <row r="161" ht="14.2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</row>
    <row r="162" ht="14.2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</row>
    <row r="163" ht="14.2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</row>
    <row r="164" ht="14.2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</row>
    <row r="165" ht="14.2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</row>
    <row r="166" ht="14.2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</row>
    <row r="167" ht="14.2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</row>
    <row r="168" ht="14.2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</row>
    <row r="169" ht="14.2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</row>
    <row r="170" ht="14.2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</row>
    <row r="171" ht="14.2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</row>
    <row r="172" ht="14.2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</row>
    <row r="173" ht="14.2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</row>
    <row r="174" ht="14.2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</row>
    <row r="175" ht="14.2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</row>
    <row r="176" ht="14.2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</row>
    <row r="177" ht="14.2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</row>
    <row r="178" ht="14.2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</row>
    <row r="179" ht="14.2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</row>
    <row r="180" ht="14.2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</row>
    <row r="181" ht="14.2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</row>
    <row r="182" ht="14.2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</row>
    <row r="183" ht="14.2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</row>
    <row r="184" ht="14.2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</row>
    <row r="185" ht="14.2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</row>
    <row r="186" ht="14.25" customHeight="1">
      <c r="A186" s="17" t="s">
        <v>117</v>
      </c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</row>
    <row r="187" ht="14.2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</row>
    <row r="188" ht="14.2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</row>
    <row r="189" ht="14.2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</row>
    <row r="190" ht="14.2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</row>
    <row r="191" ht="14.2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</row>
    <row r="192" ht="14.2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</row>
    <row r="193" ht="14.2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</row>
    <row r="194" ht="14.2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</row>
    <row r="195" ht="14.2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</row>
    <row r="196" ht="14.2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</row>
    <row r="197" ht="14.2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</row>
    <row r="198" ht="14.2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</row>
    <row r="199" ht="14.2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</row>
    <row r="200" ht="14.2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</row>
    <row r="201" ht="14.2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</row>
    <row r="202" ht="14.2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</row>
    <row r="203" ht="14.2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</row>
    <row r="204" ht="14.2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</row>
    <row r="205" ht="14.2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</row>
    <row r="206" ht="14.2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</row>
    <row r="207" ht="14.2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</row>
    <row r="208" ht="14.2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</row>
    <row r="209" ht="14.2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</row>
    <row r="210" ht="14.2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</row>
    <row r="211" ht="14.2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</row>
    <row r="212" ht="14.2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</row>
    <row r="213" ht="14.2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</row>
    <row r="214" ht="14.2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</row>
    <row r="215" ht="14.2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</row>
    <row r="216" ht="14.2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</row>
    <row r="217" ht="14.2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</row>
    <row r="218" ht="14.2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</row>
    <row r="219" ht="14.2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</row>
    <row r="220" ht="14.2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</row>
    <row r="221" ht="14.2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</row>
    <row r="222" ht="14.2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</row>
    <row r="223" ht="14.2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</row>
    <row r="224" ht="14.2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</row>
    <row r="225" ht="14.2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</row>
    <row r="226" ht="14.2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</row>
    <row r="227" ht="14.2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</row>
    <row r="228" ht="14.2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</row>
    <row r="229" ht="14.2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</row>
    <row r="230" ht="14.2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</row>
    <row r="231" ht="14.2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</row>
    <row r="232" ht="14.2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</row>
    <row r="233" ht="14.2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</row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D2:I2"/>
    <mergeCell ref="L2:V2"/>
  </mergeCells>
  <conditionalFormatting sqref="D37:W37">
    <cfRule type="cellIs" dxfId="0" priority="1" operator="lessThan">
      <formula>100</formula>
    </cfRule>
  </conditionalFormatting>
  <conditionalFormatting sqref="D37:W37">
    <cfRule type="cellIs" dxfId="1" priority="2" operator="greaterThanOrEqual">
      <formula>100</formula>
    </cfRule>
  </conditionalFormatting>
  <hyperlinks>
    <hyperlink r:id="rId1" ref="C14"/>
    <hyperlink r:id="rId2" ref="C15"/>
  </hyperlinks>
  <printOptions/>
  <pageMargins bottom="0.787401575" footer="0.0" header="0.0" left="0.7" right="0.7" top="0.787401575"/>
  <pageSetup paperSize="9"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1" width="8.25"/>
    <col customWidth="1" min="22" max="22" width="2.75"/>
    <col customWidth="1" min="23" max="23" width="2.63"/>
    <col customWidth="1" min="24" max="24" width="19.13"/>
    <col customWidth="1" min="25" max="25" width="8.63"/>
    <col customWidth="1" min="26" max="27" width="14.38"/>
  </cols>
  <sheetData>
    <row r="1" ht="15.0" customHeight="1">
      <c r="B1" s="18" t="s">
        <v>32</v>
      </c>
      <c r="C1" s="19"/>
      <c r="D1" s="19"/>
      <c r="E1" s="19"/>
      <c r="F1" s="19"/>
      <c r="G1" s="19"/>
      <c r="H1" s="18"/>
      <c r="I1" s="18"/>
      <c r="J1" s="49" t="s">
        <v>33</v>
      </c>
      <c r="K1" s="19"/>
      <c r="L1" s="19"/>
      <c r="M1" s="19"/>
      <c r="N1" s="19"/>
      <c r="O1" s="19"/>
      <c r="P1" s="19"/>
      <c r="Q1" s="19"/>
      <c r="R1" s="19"/>
      <c r="S1" s="19"/>
      <c r="T1" s="19"/>
      <c r="U1" s="50"/>
    </row>
    <row r="2" ht="14.25" customHeight="1">
      <c r="A2" s="51" t="s">
        <v>118</v>
      </c>
      <c r="B2" s="52" t="s">
        <v>0</v>
      </c>
      <c r="C2" s="52" t="s">
        <v>2</v>
      </c>
      <c r="D2" s="52" t="s">
        <v>4</v>
      </c>
      <c r="E2" s="52" t="s">
        <v>5</v>
      </c>
      <c r="F2" s="52" t="s">
        <v>6</v>
      </c>
      <c r="G2" s="52" t="s">
        <v>7</v>
      </c>
      <c r="H2" s="53" t="s">
        <v>10</v>
      </c>
      <c r="I2" s="53" t="s">
        <v>13</v>
      </c>
      <c r="J2" s="54" t="s">
        <v>8</v>
      </c>
      <c r="K2" s="54" t="s">
        <v>9</v>
      </c>
      <c r="L2" s="54" t="s">
        <v>11</v>
      </c>
      <c r="M2" s="54" t="s">
        <v>12</v>
      </c>
      <c r="N2" s="54" t="s">
        <v>15</v>
      </c>
      <c r="O2" s="54" t="s">
        <v>16</v>
      </c>
      <c r="P2" s="54" t="s">
        <v>17</v>
      </c>
      <c r="Q2" s="54" t="s">
        <v>19</v>
      </c>
      <c r="R2" s="54" t="s">
        <v>20</v>
      </c>
      <c r="S2" s="54" t="s">
        <v>22</v>
      </c>
      <c r="T2" s="54" t="s">
        <v>23</v>
      </c>
      <c r="U2" s="55" t="s">
        <v>24</v>
      </c>
      <c r="V2" s="30"/>
      <c r="W2" s="30"/>
    </row>
    <row r="3" ht="14.25" customHeight="1">
      <c r="A3" s="56" t="s">
        <v>119</v>
      </c>
      <c r="B3" s="57">
        <v>228.0</v>
      </c>
      <c r="C3" s="57">
        <v>0.0</v>
      </c>
      <c r="D3" s="57">
        <v>291.0</v>
      </c>
      <c r="E3" s="58">
        <v>225.0</v>
      </c>
      <c r="F3" s="58">
        <v>187.5</v>
      </c>
      <c r="G3" s="57">
        <v>0.0</v>
      </c>
      <c r="H3" s="57">
        <v>320.0</v>
      </c>
      <c r="I3" s="57">
        <v>0.0</v>
      </c>
      <c r="J3" s="57">
        <v>0.0</v>
      </c>
      <c r="K3" s="57">
        <v>0.0</v>
      </c>
      <c r="L3" s="57">
        <v>0.0</v>
      </c>
      <c r="M3" s="57">
        <v>101.0</v>
      </c>
      <c r="N3" s="57">
        <v>164.25</v>
      </c>
      <c r="O3" s="57">
        <v>180.65</v>
      </c>
      <c r="P3" s="58">
        <v>130.0</v>
      </c>
      <c r="Q3" s="57">
        <v>174.5</v>
      </c>
      <c r="R3" s="57">
        <v>118.0</v>
      </c>
      <c r="S3" s="57">
        <v>0.0</v>
      </c>
      <c r="T3" s="57">
        <v>157.5</v>
      </c>
      <c r="U3" s="57">
        <v>0.0</v>
      </c>
      <c r="V3" s="30"/>
      <c r="W3" s="59"/>
      <c r="X3" s="30" t="s">
        <v>120</v>
      </c>
      <c r="Y3" s="30"/>
    </row>
    <row r="4" ht="14.25" customHeight="1">
      <c r="A4" s="60">
        <v>1.0</v>
      </c>
      <c r="B4" s="61"/>
      <c r="C4" s="61"/>
      <c r="D4" s="61"/>
      <c r="E4" s="61"/>
      <c r="F4" s="61"/>
      <c r="G4" s="57"/>
      <c r="H4" s="57"/>
      <c r="I4" s="57"/>
      <c r="J4" s="57"/>
      <c r="K4" s="61"/>
      <c r="L4" s="57"/>
      <c r="M4" s="61"/>
      <c r="N4" s="57"/>
      <c r="O4" s="57"/>
      <c r="P4" s="61"/>
      <c r="Q4" s="61"/>
      <c r="R4" s="61"/>
      <c r="S4" s="57"/>
      <c r="T4" s="57"/>
      <c r="U4" s="57"/>
      <c r="V4" s="30"/>
      <c r="W4" s="62"/>
      <c r="X4" s="30" t="s">
        <v>121</v>
      </c>
      <c r="Y4" s="30"/>
    </row>
    <row r="5" ht="14.25" customHeight="1">
      <c r="A5" s="60">
        <v>2.0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30"/>
      <c r="W5" s="63"/>
      <c r="X5" s="30" t="s">
        <v>122</v>
      </c>
      <c r="Y5" s="30"/>
    </row>
    <row r="6" ht="14.25" customHeight="1">
      <c r="A6" s="60">
        <v>3.0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30"/>
      <c r="W6" s="64"/>
      <c r="X6" s="30" t="s">
        <v>123</v>
      </c>
      <c r="Y6" s="30"/>
    </row>
    <row r="7" ht="14.25" customHeight="1">
      <c r="A7" s="60">
        <v>4.0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30"/>
      <c r="W7" s="30"/>
    </row>
    <row r="8" ht="14.25" customHeight="1">
      <c r="A8" s="60">
        <v>5.0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30"/>
      <c r="W8" s="30"/>
    </row>
    <row r="9" ht="14.25" customHeight="1">
      <c r="A9" s="60">
        <v>6.0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30"/>
      <c r="W9" s="30"/>
    </row>
    <row r="10" ht="14.25" customHeight="1">
      <c r="A10" s="60">
        <v>7.0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30"/>
      <c r="W10" s="30"/>
    </row>
    <row r="11" ht="14.25" customHeight="1">
      <c r="A11" s="60">
        <v>8.0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30"/>
      <c r="W11" s="30"/>
    </row>
    <row r="12" ht="14.25" customHeight="1">
      <c r="A12" s="60">
        <v>9.0</v>
      </c>
      <c r="B12" s="57"/>
      <c r="C12" s="57"/>
      <c r="D12" s="57"/>
      <c r="E12" s="57"/>
      <c r="F12" s="57"/>
      <c r="G12" s="58"/>
      <c r="H12" s="58"/>
      <c r="I12" s="58"/>
      <c r="J12" s="58"/>
      <c r="K12" s="57"/>
      <c r="L12" s="57"/>
      <c r="M12" s="58"/>
      <c r="N12" s="57"/>
      <c r="O12" s="57"/>
      <c r="P12" s="57"/>
      <c r="Q12" s="58"/>
      <c r="R12" s="57"/>
      <c r="S12" s="57"/>
      <c r="T12" s="57"/>
      <c r="U12" s="57"/>
      <c r="V12" s="30"/>
      <c r="W12" s="30"/>
    </row>
    <row r="13" ht="14.25" customHeight="1">
      <c r="A13" s="60">
        <v>10.0</v>
      </c>
      <c r="B13" s="57"/>
      <c r="C13" s="57"/>
      <c r="D13" s="57"/>
      <c r="E13" s="57"/>
      <c r="F13" s="57"/>
      <c r="G13" s="58"/>
      <c r="H13" s="58"/>
      <c r="I13" s="58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30"/>
      <c r="W13" s="30"/>
    </row>
    <row r="14" ht="14.25" customHeight="1">
      <c r="A14" s="60">
        <v>11.0</v>
      </c>
      <c r="B14" s="57"/>
      <c r="C14" s="58"/>
      <c r="D14" s="58"/>
      <c r="E14" s="57"/>
      <c r="F14" s="57"/>
      <c r="G14" s="58"/>
      <c r="H14" s="58"/>
      <c r="I14" s="58"/>
      <c r="J14" s="57"/>
      <c r="K14" s="57"/>
      <c r="L14" s="57"/>
      <c r="M14" s="58"/>
      <c r="N14" s="57"/>
      <c r="O14" s="57"/>
      <c r="P14" s="58"/>
      <c r="Q14" s="57"/>
      <c r="R14" s="57"/>
      <c r="S14" s="58"/>
      <c r="T14" s="57"/>
      <c r="U14" s="57"/>
      <c r="V14" s="30"/>
      <c r="W14" s="30"/>
    </row>
    <row r="15" ht="14.25" customHeight="1">
      <c r="A15" s="60">
        <v>12.0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65"/>
      <c r="M15" s="57"/>
      <c r="N15" s="57"/>
      <c r="O15" s="57"/>
      <c r="P15" s="57"/>
      <c r="Q15" s="57"/>
      <c r="R15" s="57"/>
      <c r="S15" s="57"/>
      <c r="T15" s="57"/>
      <c r="U15" s="57"/>
      <c r="V15" s="30"/>
      <c r="W15" s="30"/>
    </row>
    <row r="16" ht="14.25" customHeight="1">
      <c r="A16" s="60">
        <v>13.0</v>
      </c>
      <c r="B16" s="57"/>
      <c r="C16" s="57"/>
      <c r="D16" s="57"/>
      <c r="E16" s="57"/>
      <c r="F16" s="57"/>
      <c r="G16" s="58"/>
      <c r="H16" s="58"/>
      <c r="I16" s="58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30"/>
      <c r="W16" s="30"/>
    </row>
    <row r="17" ht="14.25" customHeight="1">
      <c r="A17" s="60">
        <v>14.0</v>
      </c>
      <c r="B17" s="57"/>
      <c r="C17" s="57"/>
      <c r="D17" s="57"/>
      <c r="E17" s="57"/>
      <c r="F17" s="57"/>
      <c r="G17" s="58"/>
      <c r="H17" s="58"/>
      <c r="I17" s="58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30"/>
      <c r="W17" s="30"/>
    </row>
    <row r="18" ht="14.25" customHeight="1">
      <c r="A18" s="60">
        <v>15.0</v>
      </c>
      <c r="B18" s="57"/>
      <c r="C18" s="57"/>
      <c r="D18" s="57"/>
      <c r="E18" s="57"/>
      <c r="F18" s="57"/>
      <c r="G18" s="57"/>
      <c r="H18" s="57"/>
      <c r="I18" s="57"/>
      <c r="J18" s="57"/>
      <c r="K18" s="58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30"/>
      <c r="W18" s="30"/>
    </row>
    <row r="19" ht="14.25" customHeight="1">
      <c r="A19" s="60">
        <v>16.0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8"/>
      <c r="N19" s="57"/>
      <c r="O19" s="57"/>
      <c r="P19" s="57"/>
      <c r="Q19" s="57"/>
      <c r="R19" s="57"/>
      <c r="S19" s="57"/>
      <c r="T19" s="57"/>
      <c r="U19" s="57"/>
      <c r="V19" s="57"/>
      <c r="W19" s="30"/>
    </row>
    <row r="20" ht="14.25" customHeight="1">
      <c r="A20" s="60">
        <v>17.0</v>
      </c>
      <c r="B20" s="57"/>
      <c r="C20" s="57"/>
      <c r="D20" s="57"/>
      <c r="E20" s="57"/>
      <c r="F20" s="57"/>
      <c r="G20" s="58"/>
      <c r="H20" s="58"/>
      <c r="I20" s="58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30"/>
    </row>
    <row r="21" ht="14.25" customHeight="1">
      <c r="A21" s="60">
        <v>18.0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30"/>
      <c r="W21" s="30"/>
    </row>
    <row r="22" ht="14.25" customHeight="1">
      <c r="A22" s="60">
        <v>19.0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30"/>
      <c r="W22" s="30"/>
    </row>
    <row r="23" ht="14.25" customHeight="1">
      <c r="A23" s="60">
        <v>20.0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30"/>
      <c r="W23" s="30"/>
    </row>
    <row r="24" ht="14.25" customHeight="1">
      <c r="A24" s="60">
        <v>21.0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30"/>
    </row>
    <row r="25" ht="14.25" customHeight="1">
      <c r="A25" s="60">
        <v>22.0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30"/>
    </row>
    <row r="26" ht="14.25" customHeight="1">
      <c r="A26" s="56" t="s">
        <v>124</v>
      </c>
      <c r="B26" s="57"/>
      <c r="C26" s="57"/>
      <c r="D26" s="57"/>
      <c r="E26" s="57"/>
      <c r="F26" s="57"/>
      <c r="G26" s="58"/>
      <c r="H26" s="58"/>
      <c r="I26" s="58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8"/>
      <c r="U26" s="58"/>
      <c r="V26" s="30"/>
    </row>
    <row r="27" ht="14.25" customHeight="1">
      <c r="A27" s="56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30"/>
    </row>
    <row r="28" ht="14.25" customHeight="1">
      <c r="A28" s="56" t="s">
        <v>125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30"/>
    </row>
    <row r="29" ht="14.25" customHeight="1">
      <c r="A29" s="66" t="s">
        <v>126</v>
      </c>
      <c r="B29" s="67">
        <f t="shared" ref="B29:U29" si="1">SUM(B3:B26)</f>
        <v>228</v>
      </c>
      <c r="C29" s="67">
        <f t="shared" si="1"/>
        <v>0</v>
      </c>
      <c r="D29" s="67">
        <f t="shared" si="1"/>
        <v>291</v>
      </c>
      <c r="E29" s="67">
        <f t="shared" si="1"/>
        <v>225</v>
      </c>
      <c r="F29" s="67">
        <f t="shared" si="1"/>
        <v>187.5</v>
      </c>
      <c r="G29" s="67">
        <f t="shared" si="1"/>
        <v>0</v>
      </c>
      <c r="H29" s="67">
        <f t="shared" si="1"/>
        <v>320</v>
      </c>
      <c r="I29" s="67">
        <f t="shared" si="1"/>
        <v>0</v>
      </c>
      <c r="J29" s="68">
        <f t="shared" si="1"/>
        <v>0</v>
      </c>
      <c r="K29" s="68">
        <f t="shared" si="1"/>
        <v>0</v>
      </c>
      <c r="L29" s="68">
        <f t="shared" si="1"/>
        <v>0</v>
      </c>
      <c r="M29" s="68">
        <f t="shared" si="1"/>
        <v>101</v>
      </c>
      <c r="N29" s="68">
        <f t="shared" si="1"/>
        <v>164.25</v>
      </c>
      <c r="O29" s="68">
        <f t="shared" si="1"/>
        <v>180.65</v>
      </c>
      <c r="P29" s="68">
        <f t="shared" si="1"/>
        <v>130</v>
      </c>
      <c r="Q29" s="68">
        <f t="shared" si="1"/>
        <v>174.5</v>
      </c>
      <c r="R29" s="68">
        <f t="shared" si="1"/>
        <v>118</v>
      </c>
      <c r="S29" s="68">
        <f t="shared" si="1"/>
        <v>0</v>
      </c>
      <c r="T29" s="68">
        <f t="shared" si="1"/>
        <v>157.5</v>
      </c>
      <c r="U29" s="68">
        <f t="shared" si="1"/>
        <v>0</v>
      </c>
      <c r="V29" s="69"/>
      <c r="W29" s="69"/>
      <c r="X29" s="69"/>
      <c r="Y29" s="69"/>
      <c r="Z29" s="69"/>
      <c r="AA29" s="69"/>
    </row>
    <row r="30" ht="14.25" customHeight="1">
      <c r="A30" s="70" t="s">
        <v>127</v>
      </c>
      <c r="B30" s="71">
        <f t="shared" ref="B30:U30" si="2">AVERAGE(B3:B26)</f>
        <v>228</v>
      </c>
      <c r="C30" s="71">
        <f t="shared" si="2"/>
        <v>0</v>
      </c>
      <c r="D30" s="71">
        <f t="shared" si="2"/>
        <v>291</v>
      </c>
      <c r="E30" s="71">
        <f t="shared" si="2"/>
        <v>225</v>
      </c>
      <c r="F30" s="71">
        <f t="shared" si="2"/>
        <v>187.5</v>
      </c>
      <c r="G30" s="71">
        <f t="shared" si="2"/>
        <v>0</v>
      </c>
      <c r="H30" s="71">
        <f t="shared" si="2"/>
        <v>320</v>
      </c>
      <c r="I30" s="71">
        <f t="shared" si="2"/>
        <v>0</v>
      </c>
      <c r="J30" s="72">
        <f t="shared" si="2"/>
        <v>0</v>
      </c>
      <c r="K30" s="72">
        <f t="shared" si="2"/>
        <v>0</v>
      </c>
      <c r="L30" s="72">
        <f t="shared" si="2"/>
        <v>0</v>
      </c>
      <c r="M30" s="72">
        <f t="shared" si="2"/>
        <v>101</v>
      </c>
      <c r="N30" s="72">
        <f t="shared" si="2"/>
        <v>164.25</v>
      </c>
      <c r="O30" s="72">
        <f t="shared" si="2"/>
        <v>180.65</v>
      </c>
      <c r="P30" s="72">
        <f t="shared" si="2"/>
        <v>130</v>
      </c>
      <c r="Q30" s="72">
        <f t="shared" si="2"/>
        <v>174.5</v>
      </c>
      <c r="R30" s="72">
        <f t="shared" si="2"/>
        <v>118</v>
      </c>
      <c r="S30" s="72">
        <f t="shared" si="2"/>
        <v>0</v>
      </c>
      <c r="T30" s="72">
        <f t="shared" si="2"/>
        <v>157.5</v>
      </c>
      <c r="U30" s="72">
        <f t="shared" si="2"/>
        <v>0</v>
      </c>
      <c r="V30" s="30"/>
    </row>
    <row r="31" ht="14.25" customHeight="1">
      <c r="A31" s="70" t="s">
        <v>128</v>
      </c>
      <c r="B31" s="73">
        <f t="shared" ref="B31:I31" si="3">B11+B15+B12</f>
        <v>0</v>
      </c>
      <c r="C31" s="73">
        <f t="shared" si="3"/>
        <v>0</v>
      </c>
      <c r="D31" s="73">
        <f t="shared" si="3"/>
        <v>0</v>
      </c>
      <c r="E31" s="73">
        <f t="shared" si="3"/>
        <v>0</v>
      </c>
      <c r="F31" s="73">
        <f t="shared" si="3"/>
        <v>0</v>
      </c>
      <c r="G31" s="73">
        <f t="shared" si="3"/>
        <v>0</v>
      </c>
      <c r="H31" s="73">
        <f t="shared" si="3"/>
        <v>0</v>
      </c>
      <c r="I31" s="73">
        <f t="shared" si="3"/>
        <v>0</v>
      </c>
      <c r="J31" s="72">
        <f t="shared" ref="J31:U31" si="4">J9+J10+J11</f>
        <v>0</v>
      </c>
      <c r="K31" s="72">
        <f t="shared" si="4"/>
        <v>0</v>
      </c>
      <c r="L31" s="72">
        <f t="shared" si="4"/>
        <v>0</v>
      </c>
      <c r="M31" s="72">
        <f t="shared" si="4"/>
        <v>0</v>
      </c>
      <c r="N31" s="72">
        <f t="shared" si="4"/>
        <v>0</v>
      </c>
      <c r="O31" s="72">
        <f t="shared" si="4"/>
        <v>0</v>
      </c>
      <c r="P31" s="72">
        <f t="shared" si="4"/>
        <v>0</v>
      </c>
      <c r="Q31" s="72">
        <f t="shared" si="4"/>
        <v>0</v>
      </c>
      <c r="R31" s="72">
        <f t="shared" si="4"/>
        <v>0</v>
      </c>
      <c r="S31" s="72">
        <f t="shared" si="4"/>
        <v>0</v>
      </c>
      <c r="T31" s="72">
        <f t="shared" si="4"/>
        <v>0</v>
      </c>
      <c r="U31" s="72">
        <f t="shared" si="4"/>
        <v>0</v>
      </c>
      <c r="V31" s="30"/>
    </row>
    <row r="32" ht="14.25" customHeight="1">
      <c r="A32" s="70" t="s">
        <v>129</v>
      </c>
      <c r="B32" s="74">
        <v>0.0</v>
      </c>
      <c r="C32" s="74">
        <v>0.0</v>
      </c>
      <c r="D32" s="74">
        <v>0.0</v>
      </c>
      <c r="E32" s="74">
        <v>0.0</v>
      </c>
      <c r="F32" s="74">
        <v>0.0</v>
      </c>
      <c r="G32" s="74">
        <v>0.0</v>
      </c>
      <c r="H32" s="74">
        <v>0.0</v>
      </c>
      <c r="I32" s="74">
        <v>0.0</v>
      </c>
      <c r="J32" s="72">
        <v>0.0</v>
      </c>
      <c r="K32" s="72">
        <v>0.0</v>
      </c>
      <c r="L32" s="72">
        <v>0.0</v>
      </c>
      <c r="M32" s="72">
        <v>0.0</v>
      </c>
      <c r="N32" s="72">
        <v>0.0</v>
      </c>
      <c r="O32" s="72">
        <v>0.0</v>
      </c>
      <c r="P32" s="72">
        <v>0.0</v>
      </c>
      <c r="Q32" s="72">
        <v>0.0</v>
      </c>
      <c r="R32" s="72">
        <v>0.0</v>
      </c>
      <c r="S32" s="72">
        <v>0.0</v>
      </c>
      <c r="T32" s="72">
        <v>0.0</v>
      </c>
      <c r="U32" s="72">
        <v>0.0</v>
      </c>
      <c r="V32" s="30"/>
    </row>
    <row r="33" ht="14.25" customHeight="1">
      <c r="A33" s="66" t="s">
        <v>130</v>
      </c>
      <c r="B33" s="75">
        <f t="shared" ref="B33:U33" si="5">B29-B31+B32</f>
        <v>228</v>
      </c>
      <c r="C33" s="75">
        <f t="shared" si="5"/>
        <v>0</v>
      </c>
      <c r="D33" s="75">
        <f t="shared" si="5"/>
        <v>291</v>
      </c>
      <c r="E33" s="75">
        <f t="shared" si="5"/>
        <v>225</v>
      </c>
      <c r="F33" s="75">
        <f t="shared" si="5"/>
        <v>187.5</v>
      </c>
      <c r="G33" s="75">
        <f t="shared" si="5"/>
        <v>0</v>
      </c>
      <c r="H33" s="75">
        <f t="shared" si="5"/>
        <v>320</v>
      </c>
      <c r="I33" s="75">
        <f t="shared" si="5"/>
        <v>0</v>
      </c>
      <c r="J33" s="76">
        <f t="shared" si="5"/>
        <v>0</v>
      </c>
      <c r="K33" s="76">
        <f t="shared" si="5"/>
        <v>0</v>
      </c>
      <c r="L33" s="76">
        <f t="shared" si="5"/>
        <v>0</v>
      </c>
      <c r="M33" s="76">
        <f t="shared" si="5"/>
        <v>101</v>
      </c>
      <c r="N33" s="76">
        <f t="shared" si="5"/>
        <v>164.25</v>
      </c>
      <c r="O33" s="76">
        <f t="shared" si="5"/>
        <v>180.65</v>
      </c>
      <c r="P33" s="76">
        <f t="shared" si="5"/>
        <v>130</v>
      </c>
      <c r="Q33" s="76">
        <f t="shared" si="5"/>
        <v>174.5</v>
      </c>
      <c r="R33" s="76">
        <f t="shared" si="5"/>
        <v>118</v>
      </c>
      <c r="S33" s="76">
        <f t="shared" si="5"/>
        <v>0</v>
      </c>
      <c r="T33" s="76">
        <f t="shared" si="5"/>
        <v>157.5</v>
      </c>
      <c r="U33" s="76">
        <f t="shared" si="5"/>
        <v>0</v>
      </c>
      <c r="V33" s="69"/>
      <c r="W33" s="69"/>
      <c r="X33" s="69"/>
      <c r="Y33" s="69"/>
      <c r="Z33" s="69"/>
      <c r="AA33" s="69"/>
    </row>
    <row r="34" ht="14.25" customHeight="1">
      <c r="A34" s="66" t="s">
        <v>131</v>
      </c>
      <c r="B34" s="67">
        <f>RANK(B33,B33:I33)</f>
        <v>3</v>
      </c>
      <c r="C34" s="67">
        <f>RANK(C33,B33:I33)</f>
        <v>6</v>
      </c>
      <c r="D34" s="67">
        <f>RANK(D33,B33:I33)</f>
        <v>2</v>
      </c>
      <c r="E34" s="67">
        <f>RANK(E33,B33:I33)</f>
        <v>4</v>
      </c>
      <c r="F34" s="67">
        <f>RANK(F33,B33:I33)</f>
        <v>5</v>
      </c>
      <c r="G34" s="67">
        <f>RANK(G33,B33:G33)</f>
        <v>5</v>
      </c>
      <c r="H34" s="67">
        <f>RANK(H33,B33:I33)</f>
        <v>1</v>
      </c>
      <c r="I34" s="67">
        <f>RANK(I33,B33:I33)</f>
        <v>6</v>
      </c>
      <c r="J34" s="68">
        <f>RANK(J33,J33:U33)</f>
        <v>8</v>
      </c>
      <c r="K34" s="68">
        <f>RANK(K33,J33:U33)</f>
        <v>8</v>
      </c>
      <c r="L34" s="68">
        <f>RANK(L33,J33:U33)</f>
        <v>8</v>
      </c>
      <c r="M34" s="68">
        <f>RANK(M33,J33:U33)</f>
        <v>7</v>
      </c>
      <c r="N34" s="68">
        <f>RANK(N33,J33:U33)</f>
        <v>3</v>
      </c>
      <c r="O34" s="68">
        <f>RANK(O33,J33:U33)</f>
        <v>1</v>
      </c>
      <c r="P34" s="68">
        <f>RANK(P33,J33:U33)</f>
        <v>5</v>
      </c>
      <c r="Q34" s="68">
        <f>RANK(Q33,J33:U33)</f>
        <v>2</v>
      </c>
      <c r="R34" s="68">
        <f>RANK(R33,J33:U33)</f>
        <v>6</v>
      </c>
      <c r="S34" s="68">
        <f>RANK(S33,J33:U33)</f>
        <v>8</v>
      </c>
      <c r="T34" s="68">
        <f>RANK(T33,J33:U33)</f>
        <v>4</v>
      </c>
      <c r="U34" s="68">
        <f>RANK(U33,J33:U33)</f>
        <v>8</v>
      </c>
      <c r="V34" s="69"/>
      <c r="W34" s="69"/>
      <c r="X34" s="69"/>
      <c r="Y34" s="69"/>
      <c r="Z34" s="69"/>
      <c r="AA34" s="69"/>
    </row>
    <row r="35" ht="14.25" customHeight="1">
      <c r="A35" s="70" t="s">
        <v>132</v>
      </c>
      <c r="B35" s="77">
        <v>0.0</v>
      </c>
      <c r="C35" s="77">
        <v>0.0</v>
      </c>
      <c r="D35" s="77">
        <v>0.0</v>
      </c>
      <c r="E35" s="77">
        <v>0.0</v>
      </c>
      <c r="F35" s="77">
        <v>0.0</v>
      </c>
      <c r="G35" s="77">
        <v>0.0</v>
      </c>
      <c r="H35" s="77">
        <v>0.0</v>
      </c>
      <c r="I35" s="77">
        <v>0.0</v>
      </c>
      <c r="J35" s="78">
        <v>0.0</v>
      </c>
      <c r="K35" s="78">
        <v>0.0</v>
      </c>
      <c r="L35" s="78">
        <v>0.0</v>
      </c>
      <c r="M35" s="78">
        <v>0.0</v>
      </c>
      <c r="N35" s="78">
        <v>0.0</v>
      </c>
      <c r="O35" s="78">
        <v>0.0</v>
      </c>
      <c r="P35" s="78">
        <v>0.0</v>
      </c>
      <c r="Q35" s="78">
        <v>0.0</v>
      </c>
      <c r="R35" s="78">
        <v>0.0</v>
      </c>
      <c r="S35" s="78">
        <v>0.0</v>
      </c>
      <c r="T35" s="78">
        <v>0.0</v>
      </c>
      <c r="U35" s="78">
        <v>0.0</v>
      </c>
      <c r="V35" s="30"/>
      <c r="W35" s="30"/>
    </row>
    <row r="36" ht="14.25" customHeight="1">
      <c r="A36" s="70" t="s">
        <v>133</v>
      </c>
      <c r="B36" s="77">
        <v>0.0</v>
      </c>
      <c r="C36" s="77">
        <v>0.0</v>
      </c>
      <c r="D36" s="77">
        <v>0.0</v>
      </c>
      <c r="E36" s="77">
        <v>0.0</v>
      </c>
      <c r="F36" s="77">
        <v>0.0</v>
      </c>
      <c r="G36" s="77">
        <v>0.0</v>
      </c>
      <c r="H36" s="77">
        <v>0.0</v>
      </c>
      <c r="I36" s="77">
        <v>0.0</v>
      </c>
      <c r="J36" s="78">
        <v>0.0</v>
      </c>
      <c r="K36" s="78">
        <v>0.0</v>
      </c>
      <c r="L36" s="78">
        <v>0.0</v>
      </c>
      <c r="M36" s="78">
        <v>0.0</v>
      </c>
      <c r="N36" s="78">
        <v>0.0</v>
      </c>
      <c r="O36" s="78">
        <v>0.0</v>
      </c>
      <c r="P36" s="78">
        <v>0.0</v>
      </c>
      <c r="Q36" s="78">
        <v>0.0</v>
      </c>
      <c r="R36" s="78">
        <v>0.0</v>
      </c>
      <c r="S36" s="78">
        <v>0.0</v>
      </c>
      <c r="T36" s="78">
        <v>0.0</v>
      </c>
      <c r="U36" s="78">
        <v>0.0</v>
      </c>
      <c r="V36" s="30"/>
      <c r="W36" s="30"/>
      <c r="X36" s="79"/>
      <c r="Y36" s="79"/>
    </row>
    <row r="37" ht="14.25" customHeight="1">
      <c r="A37" s="80" t="s">
        <v>134</v>
      </c>
      <c r="B37" s="81">
        <f t="shared" ref="B37:U37" si="6">SUM(B35:B36)</f>
        <v>0</v>
      </c>
      <c r="C37" s="81">
        <f t="shared" si="6"/>
        <v>0</v>
      </c>
      <c r="D37" s="81">
        <f t="shared" si="6"/>
        <v>0</v>
      </c>
      <c r="E37" s="81">
        <f t="shared" si="6"/>
        <v>0</v>
      </c>
      <c r="F37" s="81">
        <f t="shared" si="6"/>
        <v>0</v>
      </c>
      <c r="G37" s="81">
        <f t="shared" si="6"/>
        <v>0</v>
      </c>
      <c r="H37" s="81">
        <f t="shared" si="6"/>
        <v>0</v>
      </c>
      <c r="I37" s="81">
        <f t="shared" si="6"/>
        <v>0</v>
      </c>
      <c r="J37" s="82">
        <f t="shared" si="6"/>
        <v>0</v>
      </c>
      <c r="K37" s="82">
        <f t="shared" si="6"/>
        <v>0</v>
      </c>
      <c r="L37" s="82">
        <f t="shared" si="6"/>
        <v>0</v>
      </c>
      <c r="M37" s="82">
        <f t="shared" si="6"/>
        <v>0</v>
      </c>
      <c r="N37" s="82">
        <f t="shared" si="6"/>
        <v>0</v>
      </c>
      <c r="O37" s="82">
        <f t="shared" si="6"/>
        <v>0</v>
      </c>
      <c r="P37" s="82">
        <f t="shared" si="6"/>
        <v>0</v>
      </c>
      <c r="Q37" s="82">
        <f t="shared" si="6"/>
        <v>0</v>
      </c>
      <c r="R37" s="82">
        <f t="shared" si="6"/>
        <v>0</v>
      </c>
      <c r="S37" s="82">
        <f t="shared" si="6"/>
        <v>0</v>
      </c>
      <c r="T37" s="82">
        <f t="shared" si="6"/>
        <v>0</v>
      </c>
      <c r="U37" s="82">
        <f t="shared" si="6"/>
        <v>0</v>
      </c>
      <c r="V37" s="83"/>
      <c r="W37" s="83"/>
      <c r="X37" s="80" t="s">
        <v>135</v>
      </c>
      <c r="Y37" s="84">
        <f>SUM(B37:T37)</f>
        <v>0</v>
      </c>
      <c r="Z37" s="83"/>
      <c r="AA37" s="83"/>
    </row>
    <row r="38" ht="14.25" customHeight="1">
      <c r="A38" s="69"/>
      <c r="B38" s="30"/>
      <c r="C38" s="57"/>
      <c r="D38" s="57"/>
      <c r="E38" s="57"/>
      <c r="F38" s="57"/>
      <c r="G38" s="30"/>
      <c r="H38" s="30"/>
      <c r="I38" s="30"/>
      <c r="J38" s="30"/>
      <c r="K38" s="30"/>
      <c r="L38" s="30"/>
      <c r="M38" s="30"/>
      <c r="N38" s="57"/>
      <c r="O38" s="57"/>
      <c r="P38" s="57"/>
      <c r="Q38" s="57"/>
      <c r="R38" s="57"/>
      <c r="S38" s="57"/>
      <c r="T38" s="57"/>
      <c r="U38" s="57"/>
      <c r="V38" s="30"/>
      <c r="W38" s="30"/>
      <c r="X38" s="30"/>
      <c r="Y38" s="30"/>
    </row>
    <row r="39" ht="14.25" customHeight="1">
      <c r="A39" s="85" t="s">
        <v>125</v>
      </c>
      <c r="B39" s="86"/>
      <c r="C39" s="87"/>
      <c r="D39" s="87"/>
      <c r="E39" s="87"/>
      <c r="F39" s="87"/>
      <c r="G39" s="88"/>
      <c r="H39" s="88"/>
      <c r="I39" s="88"/>
      <c r="J39" s="86"/>
      <c r="K39" s="86"/>
      <c r="L39" s="86"/>
      <c r="M39" s="88"/>
      <c r="N39" s="87"/>
      <c r="O39" s="87"/>
      <c r="P39" s="87"/>
      <c r="Q39" s="87"/>
      <c r="R39" s="87"/>
      <c r="S39" s="87"/>
      <c r="T39" s="87"/>
      <c r="U39" s="87"/>
      <c r="V39" s="30"/>
      <c r="W39" s="30"/>
      <c r="X39" s="30"/>
      <c r="Y39" s="30"/>
      <c r="Z39" s="30"/>
      <c r="AA39" s="30"/>
    </row>
    <row r="40" ht="14.25" customHeight="1">
      <c r="A40" s="85" t="s">
        <v>136</v>
      </c>
      <c r="C40" s="30"/>
      <c r="D40" s="30"/>
      <c r="E40" s="30"/>
      <c r="F40" s="30"/>
      <c r="G40" s="30"/>
      <c r="H40" s="30"/>
      <c r="I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ht="14.25" customHeight="1">
      <c r="A41" s="85" t="s">
        <v>137</v>
      </c>
      <c r="C41" s="30"/>
      <c r="D41" s="30"/>
      <c r="E41" s="30"/>
      <c r="F41" s="30"/>
      <c r="G41" s="30"/>
      <c r="H41" s="30"/>
      <c r="I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 ht="14.25" customHeight="1">
      <c r="C42" s="30"/>
      <c r="D42" s="30"/>
      <c r="E42" s="30"/>
      <c r="F42" s="30"/>
      <c r="G42" s="30"/>
      <c r="H42" s="30"/>
      <c r="I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 ht="14.25" customHeight="1">
      <c r="C43" s="30"/>
      <c r="D43" s="30"/>
      <c r="E43" s="30"/>
      <c r="F43" s="30"/>
      <c r="G43" s="30"/>
      <c r="H43" s="30"/>
      <c r="I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 ht="14.25" customHeight="1">
      <c r="C44" s="30"/>
      <c r="D44" s="30"/>
      <c r="E44" s="30"/>
      <c r="F44" s="30"/>
      <c r="G44" s="30"/>
      <c r="H44" s="30"/>
      <c r="I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 ht="14.25" customHeight="1">
      <c r="C45" s="30"/>
      <c r="D45" s="30"/>
      <c r="E45" s="30"/>
      <c r="F45" s="30"/>
      <c r="G45" s="30"/>
      <c r="H45" s="30"/>
      <c r="I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 ht="14.25" customHeight="1">
      <c r="C46" s="30"/>
      <c r="D46" s="30"/>
      <c r="E46" s="30"/>
      <c r="F46" s="30"/>
      <c r="G46" s="30"/>
      <c r="H46" s="30"/>
      <c r="I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 ht="14.25" customHeight="1">
      <c r="C47" s="30"/>
      <c r="D47" s="30"/>
      <c r="E47" s="30"/>
      <c r="F47" s="30"/>
      <c r="G47" s="30"/>
      <c r="H47" s="30"/>
      <c r="I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 ht="14.25" customHeight="1">
      <c r="C48" s="30"/>
      <c r="D48" s="30"/>
      <c r="E48" s="30"/>
      <c r="F48" s="30"/>
      <c r="G48" s="30"/>
      <c r="H48" s="30"/>
      <c r="I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 ht="14.25" customHeight="1">
      <c r="C49" s="30"/>
      <c r="D49" s="30"/>
      <c r="E49" s="30"/>
      <c r="F49" s="30"/>
      <c r="G49" s="30"/>
      <c r="H49" s="30"/>
      <c r="I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 ht="14.25" customHeight="1">
      <c r="C50" s="30"/>
      <c r="D50" s="30"/>
      <c r="E50" s="30"/>
      <c r="F50" s="30"/>
      <c r="G50" s="30"/>
      <c r="H50" s="30"/>
      <c r="I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 ht="14.25" customHeight="1">
      <c r="C51" s="30"/>
      <c r="D51" s="30"/>
      <c r="E51" s="30"/>
      <c r="F51" s="30"/>
      <c r="G51" s="30"/>
      <c r="H51" s="30"/>
      <c r="I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 ht="14.25" customHeight="1">
      <c r="C52" s="30"/>
      <c r="D52" s="30"/>
      <c r="E52" s="30"/>
      <c r="F52" s="30"/>
      <c r="G52" s="30"/>
      <c r="H52" s="30"/>
      <c r="I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 ht="14.25" customHeight="1">
      <c r="B53" s="48"/>
      <c r="C53" s="30"/>
      <c r="D53" s="30"/>
      <c r="E53" s="30"/>
      <c r="F53" s="30"/>
      <c r="G53" s="30"/>
      <c r="H53" s="30"/>
      <c r="I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 ht="14.25" customHeight="1">
      <c r="C54" s="30"/>
      <c r="D54" s="30"/>
      <c r="E54" s="30"/>
      <c r="F54" s="30"/>
      <c r="G54" s="30"/>
      <c r="H54" s="30"/>
      <c r="I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 ht="14.25" customHeight="1">
      <c r="C55" s="30"/>
      <c r="D55" s="30"/>
      <c r="E55" s="30"/>
      <c r="F55" s="30"/>
      <c r="G55" s="30"/>
      <c r="H55" s="30"/>
      <c r="I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 ht="14.25" customHeight="1">
      <c r="C56" s="30"/>
      <c r="D56" s="30"/>
      <c r="E56" s="30"/>
      <c r="F56" s="30"/>
      <c r="G56" s="30"/>
      <c r="H56" s="30"/>
      <c r="I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 ht="14.25" customHeight="1">
      <c r="C57" s="30"/>
      <c r="D57" s="30"/>
      <c r="E57" s="30"/>
      <c r="F57" s="30"/>
      <c r="G57" s="30"/>
      <c r="H57" s="30"/>
      <c r="I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 ht="14.25" customHeight="1">
      <c r="C58" s="30"/>
      <c r="D58" s="30"/>
      <c r="E58" s="30"/>
      <c r="F58" s="30"/>
      <c r="G58" s="30"/>
      <c r="H58" s="30"/>
      <c r="I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 ht="14.25" customHeight="1">
      <c r="C59" s="30"/>
      <c r="D59" s="30"/>
      <c r="E59" s="30"/>
      <c r="F59" s="30"/>
      <c r="G59" s="30"/>
      <c r="H59" s="30"/>
      <c r="I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 ht="14.25" customHeight="1">
      <c r="C60" s="30"/>
      <c r="D60" s="30"/>
      <c r="E60" s="30"/>
      <c r="F60" s="30"/>
      <c r="G60" s="30"/>
      <c r="H60" s="30"/>
      <c r="I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 ht="14.25" customHeight="1">
      <c r="C61" s="30"/>
      <c r="D61" s="30"/>
      <c r="E61" s="30"/>
      <c r="F61" s="30"/>
      <c r="G61" s="30"/>
      <c r="H61" s="30"/>
      <c r="I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 ht="14.25" customHeight="1">
      <c r="C62" s="30"/>
      <c r="D62" s="30"/>
      <c r="E62" s="30"/>
      <c r="F62" s="30"/>
      <c r="G62" s="30"/>
      <c r="H62" s="30"/>
      <c r="I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 ht="14.25" customHeight="1">
      <c r="C63" s="30"/>
      <c r="D63" s="30"/>
      <c r="E63" s="30"/>
      <c r="F63" s="30"/>
      <c r="G63" s="30"/>
      <c r="H63" s="30"/>
      <c r="I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 ht="14.25" customHeight="1">
      <c r="A64" s="89"/>
      <c r="B64" s="89"/>
      <c r="C64" s="30"/>
      <c r="D64" s="30"/>
      <c r="E64" s="30"/>
      <c r="F64" s="30"/>
      <c r="G64" s="30"/>
      <c r="H64" s="30"/>
      <c r="I64" s="30"/>
      <c r="J64" s="30"/>
      <c r="K64" s="30"/>
      <c r="L64" s="89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 ht="14.2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 ht="14.2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 ht="14.2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 ht="14.2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9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ht="14.2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ht="14.2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ht="14.2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ht="14.2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ht="14.2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ht="14.2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ht="14.2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ht="14.2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ht="14.2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ht="14.2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ht="14.2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ht="14.2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ht="14.2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ht="14.2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ht="14.2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ht="14.2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ht="14.2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ht="14.2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ht="14.2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ht="14.2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ht="14.2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ht="14.2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ht="14.2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ht="14.2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ht="14.2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ht="14.2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ht="14.2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ht="14.2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ht="14.2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ht="14.2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ht="14.2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ht="14.2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ht="14.2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ht="14.2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ht="14.2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ht="14.2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ht="14.2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ht="14.2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ht="14.2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ht="14.2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ht="14.2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ht="14.2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ht="14.2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ht="14.2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ht="14.2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ht="14.2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ht="14.2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ht="14.2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ht="14.2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ht="14.2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ht="14.2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ht="14.2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ht="14.2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ht="14.2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ht="14.2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</row>
    <row r="124" ht="14.2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</row>
    <row r="125" ht="14.2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</row>
    <row r="126" ht="14.2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</row>
    <row r="127" ht="14.2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</row>
    <row r="128" ht="14.2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</row>
    <row r="129" ht="14.2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ht="14.2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ht="14.2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ht="14.2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</row>
    <row r="133" ht="14.2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</row>
    <row r="134" ht="14.2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ht="14.2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</row>
    <row r="136" ht="14.2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</row>
    <row r="137" ht="14.2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</row>
    <row r="138" ht="14.2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</row>
    <row r="139" ht="14.2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</row>
    <row r="140" ht="14.2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</row>
    <row r="141" ht="14.2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</row>
    <row r="142" ht="14.2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</row>
    <row r="143" ht="14.2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</row>
    <row r="144" ht="14.2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</row>
    <row r="145" ht="14.2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</row>
    <row r="146" ht="14.2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ht="14.2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ht="14.2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ht="14.2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 ht="14.2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</row>
    <row r="151" ht="14.2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</row>
    <row r="152" ht="14.2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</row>
    <row r="153" ht="14.2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</row>
    <row r="154" ht="14.2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</row>
    <row r="155" ht="14.2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</row>
    <row r="156" ht="14.2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</row>
    <row r="157" ht="14.2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</row>
    <row r="158" ht="14.2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</row>
    <row r="159" ht="14.2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</row>
    <row r="160" ht="14.2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</row>
    <row r="161" ht="14.2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</row>
    <row r="162" ht="14.2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</row>
    <row r="163" ht="14.2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</row>
    <row r="164" ht="14.2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</row>
    <row r="165" ht="14.2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</row>
    <row r="166" ht="14.2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</row>
    <row r="167" ht="14.2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</row>
    <row r="168" ht="14.2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</row>
    <row r="169" ht="14.2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</row>
    <row r="170" ht="14.2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</row>
    <row r="171" ht="14.2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</row>
    <row r="172" ht="14.2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</row>
    <row r="173" ht="14.2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</row>
    <row r="174" ht="14.2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</row>
    <row r="175" ht="14.2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</row>
    <row r="176" ht="14.2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</row>
    <row r="177" ht="14.2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</row>
    <row r="178" ht="14.2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</row>
    <row r="179" ht="14.2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</row>
    <row r="180" ht="14.2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</row>
    <row r="181" ht="14.2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</row>
    <row r="182" ht="14.2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</row>
    <row r="183" ht="14.2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</row>
    <row r="184" ht="14.2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</row>
    <row r="185" ht="14.2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</row>
    <row r="186" ht="14.2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</row>
    <row r="187" ht="14.2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</row>
    <row r="188" ht="14.2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</row>
    <row r="189" ht="14.2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</row>
    <row r="190" ht="14.2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</row>
    <row r="191" ht="14.2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</row>
    <row r="192" ht="14.2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</row>
    <row r="193" ht="14.2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</row>
    <row r="194" ht="14.2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</row>
    <row r="195" ht="14.2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</row>
    <row r="196" ht="14.2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</row>
    <row r="197" ht="14.2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</row>
    <row r="198" ht="14.2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</row>
    <row r="199" ht="14.2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</row>
    <row r="200" ht="14.2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</row>
    <row r="201" ht="14.2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</row>
    <row r="202" ht="14.2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</row>
    <row r="203" ht="14.2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</row>
    <row r="204" ht="14.2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</row>
    <row r="205" ht="14.2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</row>
    <row r="206" ht="14.2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</row>
    <row r="207" ht="14.2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</row>
    <row r="208" ht="14.2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</row>
    <row r="209" ht="14.2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</row>
    <row r="210" ht="14.2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</row>
    <row r="211" ht="14.2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</row>
    <row r="212" ht="14.2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</row>
    <row r="213" ht="14.2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</row>
    <row r="214" ht="14.2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</row>
    <row r="215" ht="14.2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</row>
    <row r="216" ht="14.2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</row>
    <row r="217" ht="14.2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</row>
    <row r="218" ht="14.2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</row>
    <row r="219" ht="14.2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</row>
    <row r="220" ht="14.2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</row>
    <row r="221" ht="14.2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</row>
    <row r="222" ht="14.2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</row>
    <row r="223" ht="14.2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</row>
    <row r="224" ht="14.2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</row>
    <row r="225" ht="14.2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</row>
    <row r="226" ht="14.2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</row>
    <row r="227" ht="14.2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</row>
    <row r="228" ht="14.2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</row>
    <row r="229" ht="14.2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</row>
    <row r="230" ht="14.2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</row>
    <row r="231" ht="14.2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</row>
    <row r="232" ht="14.2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</row>
    <row r="233" ht="14.2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</row>
    <row r="234" ht="14.2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</row>
    <row r="235" ht="14.2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B1:G1"/>
    <mergeCell ref="J1:T1"/>
  </mergeCells>
  <printOptions/>
  <pageMargins bottom="0.787401575" footer="0.0" header="0.0" left="0.7" right="0.7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5" width="8.25"/>
    <col customWidth="1" min="26" max="26" width="2.75"/>
    <col customWidth="1" min="27" max="27" width="2.63"/>
    <col customWidth="1" min="28" max="28" width="19.13"/>
    <col customWidth="1" min="29" max="29" width="8.63"/>
    <col customWidth="1" min="30" max="30" width="10.25"/>
    <col customWidth="1" min="31" max="31" width="9.0"/>
    <col customWidth="1" min="32" max="33" width="19.38"/>
    <col customWidth="1" min="34" max="34" width="8.25"/>
    <col customWidth="1" min="35" max="36" width="14.38"/>
  </cols>
  <sheetData>
    <row r="1" ht="15.0" customHeight="1">
      <c r="B1" s="18" t="s">
        <v>32</v>
      </c>
      <c r="C1" s="19"/>
      <c r="D1" s="19"/>
      <c r="E1" s="19"/>
      <c r="F1" s="19"/>
      <c r="G1" s="19"/>
      <c r="H1" s="19"/>
      <c r="I1" s="19"/>
      <c r="J1" s="49" t="s">
        <v>33</v>
      </c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AD1" s="91" t="s">
        <v>138</v>
      </c>
      <c r="AE1" s="92"/>
      <c r="AF1" s="92"/>
      <c r="AG1" s="92"/>
      <c r="AH1" s="92"/>
    </row>
    <row r="2" ht="14.25" customHeight="1">
      <c r="A2" s="51" t="s">
        <v>118</v>
      </c>
      <c r="B2" s="52" t="s">
        <v>0</v>
      </c>
      <c r="C2" s="52" t="s">
        <v>1</v>
      </c>
      <c r="D2" s="52" t="s">
        <v>2</v>
      </c>
      <c r="E2" s="52" t="s">
        <v>3</v>
      </c>
      <c r="F2" s="52" t="s">
        <v>4</v>
      </c>
      <c r="G2" s="52" t="s">
        <v>5</v>
      </c>
      <c r="H2" s="52" t="s">
        <v>6</v>
      </c>
      <c r="I2" s="52" t="s">
        <v>7</v>
      </c>
      <c r="J2" s="54" t="s">
        <v>8</v>
      </c>
      <c r="K2" s="54" t="s">
        <v>9</v>
      </c>
      <c r="L2" s="54" t="s">
        <v>10</v>
      </c>
      <c r="M2" s="54" t="s">
        <v>11</v>
      </c>
      <c r="N2" s="54" t="s">
        <v>12</v>
      </c>
      <c r="O2" s="54" t="s">
        <v>13</v>
      </c>
      <c r="P2" s="54" t="s">
        <v>14</v>
      </c>
      <c r="Q2" s="54" t="s">
        <v>15</v>
      </c>
      <c r="R2" s="54" t="s">
        <v>16</v>
      </c>
      <c r="S2" s="54" t="s">
        <v>17</v>
      </c>
      <c r="T2" s="54" t="s">
        <v>18</v>
      </c>
      <c r="U2" s="54" t="s">
        <v>19</v>
      </c>
      <c r="V2" s="54" t="s">
        <v>20</v>
      </c>
      <c r="W2" s="54" t="s">
        <v>21</v>
      </c>
      <c r="X2" s="54" t="s">
        <v>22</v>
      </c>
      <c r="Y2" s="54" t="s">
        <v>23</v>
      </c>
      <c r="Z2" s="30"/>
      <c r="AA2" s="30"/>
      <c r="AD2" s="93" t="s">
        <v>118</v>
      </c>
      <c r="AE2" s="93" t="s">
        <v>139</v>
      </c>
      <c r="AF2" s="93" t="s">
        <v>140</v>
      </c>
      <c r="AG2" s="93" t="s">
        <v>136</v>
      </c>
      <c r="AH2" s="93" t="s">
        <v>137</v>
      </c>
    </row>
    <row r="3" ht="14.25" customHeight="1">
      <c r="A3" s="94" t="s">
        <v>141</v>
      </c>
      <c r="B3" s="57">
        <v>169.5</v>
      </c>
      <c r="C3" s="57">
        <v>191.625</v>
      </c>
      <c r="D3" s="57">
        <v>200.0</v>
      </c>
      <c r="E3" s="57">
        <v>100.0</v>
      </c>
      <c r="F3" s="57">
        <v>199.5</v>
      </c>
      <c r="G3" s="57">
        <v>202.5</v>
      </c>
      <c r="H3" s="57">
        <v>187.5</v>
      </c>
      <c r="I3" s="57">
        <v>208.5</v>
      </c>
      <c r="J3" s="57">
        <v>161.4</v>
      </c>
      <c r="K3" s="57">
        <v>193.0</v>
      </c>
      <c r="L3" s="57">
        <v>206.25</v>
      </c>
      <c r="M3" s="57">
        <v>221.9</v>
      </c>
      <c r="N3" s="57">
        <v>117.0</v>
      </c>
      <c r="O3" s="95">
        <v>0.0</v>
      </c>
      <c r="P3" s="57">
        <v>0.0</v>
      </c>
      <c r="Q3" s="57">
        <v>148.0</v>
      </c>
      <c r="R3" s="57">
        <v>103.0</v>
      </c>
      <c r="S3" s="57">
        <v>89.0</v>
      </c>
      <c r="T3" s="57">
        <v>26.25</v>
      </c>
      <c r="U3" s="57">
        <v>88.17</v>
      </c>
      <c r="V3" s="57">
        <v>66.0</v>
      </c>
      <c r="W3" s="57">
        <v>55.0</v>
      </c>
      <c r="X3" s="57">
        <v>81.25</v>
      </c>
      <c r="Y3" s="57">
        <v>105.0</v>
      </c>
      <c r="Z3" s="30"/>
      <c r="AA3" s="59"/>
      <c r="AB3" s="30" t="s">
        <v>120</v>
      </c>
      <c r="AC3" s="30"/>
      <c r="AD3" s="94">
        <v>1.0</v>
      </c>
      <c r="AE3" s="96" t="s">
        <v>0</v>
      </c>
      <c r="AF3" s="97" t="s">
        <v>142</v>
      </c>
      <c r="AG3" s="98" t="s">
        <v>0</v>
      </c>
      <c r="AH3" s="99">
        <v>0.09861111111111111</v>
      </c>
    </row>
    <row r="4" ht="14.25" customHeight="1">
      <c r="A4" s="94">
        <v>1.0</v>
      </c>
      <c r="B4" s="61">
        <v>255.0</v>
      </c>
      <c r="C4" s="61">
        <v>156.875</v>
      </c>
      <c r="D4" s="100">
        <v>0.0</v>
      </c>
      <c r="E4" s="61">
        <v>148.5</v>
      </c>
      <c r="F4" s="61">
        <v>159.5</v>
      </c>
      <c r="G4" s="101">
        <v>150.0</v>
      </c>
      <c r="H4" s="61">
        <v>187.5</v>
      </c>
      <c r="I4" s="57">
        <v>180.5</v>
      </c>
      <c r="J4" s="57">
        <f>194.5+48</f>
        <v>242.5</v>
      </c>
      <c r="K4" s="61">
        <v>257.0</v>
      </c>
      <c r="L4" s="101">
        <v>128.75</v>
      </c>
      <c r="M4" s="57">
        <v>114.375</v>
      </c>
      <c r="N4" s="61">
        <v>151.0</v>
      </c>
      <c r="O4" s="102">
        <v>128.0</v>
      </c>
      <c r="P4" s="57">
        <v>134.0</v>
      </c>
      <c r="Q4" s="57">
        <v>138.0</v>
      </c>
      <c r="R4" s="57">
        <v>104.2</v>
      </c>
      <c r="S4" s="61">
        <v>112.0</v>
      </c>
      <c r="T4" s="61">
        <v>101.25</v>
      </c>
      <c r="U4" s="61">
        <v>133.655</v>
      </c>
      <c r="V4" s="61">
        <v>104.0</v>
      </c>
      <c r="W4" s="57">
        <v>126.5</v>
      </c>
      <c r="X4" s="57">
        <v>191.25</v>
      </c>
      <c r="Y4" s="57">
        <v>103.75</v>
      </c>
      <c r="Z4" s="30"/>
      <c r="AA4" s="62"/>
      <c r="AB4" s="30" t="s">
        <v>121</v>
      </c>
      <c r="AC4" s="30"/>
      <c r="AD4" s="94">
        <v>2.0</v>
      </c>
      <c r="AE4" s="96" t="s">
        <v>1</v>
      </c>
      <c r="AF4" s="103" t="s">
        <v>143</v>
      </c>
      <c r="AG4" s="97" t="s">
        <v>19</v>
      </c>
      <c r="AH4" s="97">
        <v>65.0</v>
      </c>
    </row>
    <row r="5" ht="14.25" customHeight="1">
      <c r="A5" s="94">
        <v>2.0</v>
      </c>
      <c r="B5" s="57">
        <v>296.0</v>
      </c>
      <c r="C5" s="57">
        <v>110.375</v>
      </c>
      <c r="D5" s="104">
        <v>0.0</v>
      </c>
      <c r="E5" s="57">
        <v>227.0</v>
      </c>
      <c r="F5" s="102">
        <v>140.0</v>
      </c>
      <c r="G5" s="57">
        <v>287.5</v>
      </c>
      <c r="H5" s="57">
        <v>262.5</v>
      </c>
      <c r="I5" s="57">
        <v>156.0</v>
      </c>
      <c r="J5" s="57">
        <v>168.5</v>
      </c>
      <c r="K5" s="57">
        <v>135.0</v>
      </c>
      <c r="L5" s="57">
        <v>146.875</v>
      </c>
      <c r="M5" s="57">
        <v>105.625</v>
      </c>
      <c r="N5" s="57">
        <v>137.5</v>
      </c>
      <c r="O5" s="57">
        <v>225.0</v>
      </c>
      <c r="P5" s="105">
        <v>70.0</v>
      </c>
      <c r="Q5" s="57">
        <v>130.0</v>
      </c>
      <c r="R5" s="57">
        <v>105.39999999999999</v>
      </c>
      <c r="S5" s="57">
        <v>107.0</v>
      </c>
      <c r="T5" s="57">
        <v>101.25</v>
      </c>
      <c r="U5" s="57">
        <v>171.025</v>
      </c>
      <c r="V5" s="57">
        <v>103.0</v>
      </c>
      <c r="W5" s="57">
        <v>123.0</v>
      </c>
      <c r="X5" s="57">
        <v>166.25</v>
      </c>
      <c r="Y5" s="57">
        <v>124.375</v>
      </c>
      <c r="Z5" s="30"/>
      <c r="AA5" s="63"/>
      <c r="AB5" s="30" t="s">
        <v>122</v>
      </c>
      <c r="AC5" s="30"/>
      <c r="AD5" s="94">
        <v>3.0</v>
      </c>
      <c r="AE5" s="96" t="s">
        <v>2</v>
      </c>
      <c r="AF5" s="98" t="s">
        <v>144</v>
      </c>
      <c r="AG5" s="97" t="s">
        <v>11</v>
      </c>
      <c r="AH5" s="97">
        <v>157.5</v>
      </c>
    </row>
    <row r="6" ht="14.25" customHeight="1">
      <c r="A6" s="94">
        <v>3.0</v>
      </c>
      <c r="B6" s="57">
        <v>300.5</v>
      </c>
      <c r="C6" s="102">
        <v>101.125</v>
      </c>
      <c r="D6" s="57">
        <v>118.0</v>
      </c>
      <c r="E6" s="57">
        <v>193.0</v>
      </c>
      <c r="F6" s="102">
        <v>127.5</v>
      </c>
      <c r="G6" s="57">
        <v>225.0</v>
      </c>
      <c r="H6" s="57">
        <v>225.0</v>
      </c>
      <c r="I6" s="102">
        <v>100.0</v>
      </c>
      <c r="J6" s="57">
        <v>135.5</v>
      </c>
      <c r="K6" s="57">
        <v>187.0</v>
      </c>
      <c r="L6" s="57">
        <v>150.125</v>
      </c>
      <c r="M6" s="57">
        <v>239.375</v>
      </c>
      <c r="N6" s="57">
        <v>127.8</v>
      </c>
      <c r="O6" s="57">
        <v>180.0</v>
      </c>
      <c r="P6" s="57">
        <v>121.5</v>
      </c>
      <c r="Q6" s="57">
        <v>226.5</v>
      </c>
      <c r="R6" s="57">
        <v>132.25</v>
      </c>
      <c r="S6" s="57">
        <v>102.0</v>
      </c>
      <c r="T6" s="106">
        <v>51.875</v>
      </c>
      <c r="U6" s="57">
        <v>139.445</v>
      </c>
      <c r="V6" s="57">
        <v>105.0</v>
      </c>
      <c r="W6" s="105">
        <v>0.0</v>
      </c>
      <c r="X6" s="57">
        <v>135.0</v>
      </c>
      <c r="Y6" s="107">
        <v>31.25</v>
      </c>
      <c r="Z6" s="30"/>
      <c r="AA6" s="64"/>
      <c r="AB6" s="30" t="s">
        <v>123</v>
      </c>
      <c r="AC6" s="30"/>
      <c r="AD6" s="94">
        <v>4.0</v>
      </c>
      <c r="AE6" s="96" t="s">
        <v>3</v>
      </c>
      <c r="AF6" s="98" t="s">
        <v>44</v>
      </c>
      <c r="AG6" s="97" t="s">
        <v>4</v>
      </c>
      <c r="AH6" s="97">
        <v>67.5</v>
      </c>
    </row>
    <row r="7" ht="14.25" customHeight="1">
      <c r="A7" s="94">
        <v>4.0</v>
      </c>
      <c r="B7" s="57">
        <v>242.5</v>
      </c>
      <c r="C7" s="57">
        <v>256.625</v>
      </c>
      <c r="D7" s="57">
        <v>100.0</v>
      </c>
      <c r="E7" s="57">
        <v>180.0</v>
      </c>
      <c r="F7" s="57">
        <v>170.0</v>
      </c>
      <c r="G7" s="102">
        <v>150.0</v>
      </c>
      <c r="H7" s="102">
        <v>150.0</v>
      </c>
      <c r="I7" s="57">
        <v>179.0</v>
      </c>
      <c r="J7" s="57">
        <v>134.0</v>
      </c>
      <c r="K7" s="57">
        <v>177.0</v>
      </c>
      <c r="L7" s="57">
        <v>171.25</v>
      </c>
      <c r="M7" s="57">
        <v>164.375</v>
      </c>
      <c r="N7" s="57">
        <v>101.0</v>
      </c>
      <c r="O7" s="57">
        <v>190.5</v>
      </c>
      <c r="P7" s="57">
        <v>102.0</v>
      </c>
      <c r="Q7" s="57">
        <v>140.625</v>
      </c>
      <c r="R7" s="57">
        <v>126.44999999999999</v>
      </c>
      <c r="S7" s="57">
        <v>125.0</v>
      </c>
      <c r="T7" s="57">
        <v>100.0</v>
      </c>
      <c r="U7" s="57">
        <v>102.61</v>
      </c>
      <c r="V7" s="57">
        <v>101.0</v>
      </c>
      <c r="W7" s="57">
        <v>102.5</v>
      </c>
      <c r="X7" s="57">
        <v>125.0</v>
      </c>
      <c r="Y7" s="107">
        <v>0.0</v>
      </c>
      <c r="Z7" s="30"/>
      <c r="AA7" s="30"/>
      <c r="AD7" s="94">
        <v>5.0</v>
      </c>
      <c r="AE7" s="96" t="s">
        <v>4</v>
      </c>
      <c r="AF7" s="98" t="s">
        <v>75</v>
      </c>
      <c r="AG7" s="97" t="s">
        <v>19</v>
      </c>
      <c r="AH7" s="97">
        <v>65.0</v>
      </c>
    </row>
    <row r="8" ht="14.25" customHeight="1">
      <c r="A8" s="94">
        <v>5.0</v>
      </c>
      <c r="B8" s="57">
        <v>290.0</v>
      </c>
      <c r="C8" s="102">
        <v>101.62500000000001</v>
      </c>
      <c r="D8" s="57">
        <v>235.0</v>
      </c>
      <c r="E8" s="102">
        <v>102.0</v>
      </c>
      <c r="F8" s="57">
        <v>257.5</v>
      </c>
      <c r="G8" s="57">
        <v>250.0</v>
      </c>
      <c r="H8" s="57">
        <v>225.0</v>
      </c>
      <c r="I8" s="102">
        <v>101.0</v>
      </c>
      <c r="J8" s="57">
        <v>183.0</v>
      </c>
      <c r="K8" s="57">
        <v>165.0</v>
      </c>
      <c r="L8" s="102">
        <v>136.0</v>
      </c>
      <c r="M8" s="57">
        <v>140.625</v>
      </c>
      <c r="N8" s="57">
        <v>201.0</v>
      </c>
      <c r="O8" s="57">
        <v>159.0</v>
      </c>
      <c r="P8" s="57">
        <v>100.0</v>
      </c>
      <c r="Q8" s="57">
        <v>180.625</v>
      </c>
      <c r="R8" s="57">
        <v>113.8</v>
      </c>
      <c r="S8" s="57">
        <v>125.0</v>
      </c>
      <c r="T8" s="57">
        <v>101.25</v>
      </c>
      <c r="U8" s="57">
        <v>166.75</v>
      </c>
      <c r="V8" s="57">
        <v>105.0</v>
      </c>
      <c r="W8" s="57">
        <v>176.5</v>
      </c>
      <c r="X8" s="57">
        <v>166.25</v>
      </c>
      <c r="Y8" s="57">
        <v>105.625</v>
      </c>
      <c r="Z8" s="30"/>
      <c r="AA8" s="30"/>
      <c r="AD8" s="94">
        <v>6.0</v>
      </c>
      <c r="AE8" s="96" t="s">
        <v>5</v>
      </c>
      <c r="AF8" s="98" t="s">
        <v>145</v>
      </c>
      <c r="AG8" s="97" t="s">
        <v>146</v>
      </c>
      <c r="AH8" s="97">
        <v>7.0</v>
      </c>
    </row>
    <row r="9" ht="14.25" customHeight="1">
      <c r="A9" s="94">
        <v>6.0</v>
      </c>
      <c r="B9" s="57">
        <v>192.0</v>
      </c>
      <c r="C9" s="57">
        <v>262.0</v>
      </c>
      <c r="D9" s="57">
        <v>111.0</v>
      </c>
      <c r="E9" s="57">
        <v>138.0</v>
      </c>
      <c r="F9" s="57">
        <v>189.5</v>
      </c>
      <c r="G9" s="57">
        <v>194.5</v>
      </c>
      <c r="H9" s="57">
        <v>194.5</v>
      </c>
      <c r="I9" s="57">
        <v>130.5</v>
      </c>
      <c r="J9" s="107">
        <v>24.0</v>
      </c>
      <c r="K9" s="57">
        <v>138.0</v>
      </c>
      <c r="L9" s="57">
        <v>190.0</v>
      </c>
      <c r="M9" s="57">
        <v>271.875</v>
      </c>
      <c r="N9" s="107">
        <v>0.0</v>
      </c>
      <c r="O9" s="57">
        <v>179.0</v>
      </c>
      <c r="P9" s="108">
        <v>0.0</v>
      </c>
      <c r="Q9" s="57">
        <v>188.25</v>
      </c>
      <c r="R9" s="57">
        <v>137.8</v>
      </c>
      <c r="S9" s="106">
        <v>70.0</v>
      </c>
      <c r="T9" s="57">
        <v>102.5</v>
      </c>
      <c r="U9" s="57">
        <v>120.25</v>
      </c>
      <c r="V9" s="57">
        <v>102.0</v>
      </c>
      <c r="W9" s="57">
        <v>101.5</v>
      </c>
      <c r="X9" s="57">
        <v>140.25</v>
      </c>
      <c r="Y9" s="107">
        <v>0.0</v>
      </c>
      <c r="Z9" s="30"/>
      <c r="AA9" s="30"/>
      <c r="AD9" s="94">
        <v>7.0</v>
      </c>
      <c r="AE9" s="96" t="s">
        <v>6</v>
      </c>
      <c r="AF9" s="98" t="s">
        <v>147</v>
      </c>
      <c r="AG9" s="97" t="s">
        <v>26</v>
      </c>
      <c r="AH9" s="97" t="s">
        <v>26</v>
      </c>
    </row>
    <row r="10" ht="14.25" customHeight="1">
      <c r="A10" s="94">
        <v>7.0</v>
      </c>
      <c r="B10" s="57">
        <v>161.5</v>
      </c>
      <c r="C10" s="57">
        <v>223.0</v>
      </c>
      <c r="D10" s="57">
        <v>218.5</v>
      </c>
      <c r="E10" s="57">
        <v>160.0</v>
      </c>
      <c r="F10" s="57">
        <v>232.0</v>
      </c>
      <c r="G10" s="57">
        <v>235.0</v>
      </c>
      <c r="H10" s="57">
        <v>202.5</v>
      </c>
      <c r="I10" s="57">
        <v>154.0</v>
      </c>
      <c r="J10" s="107">
        <v>30.0</v>
      </c>
      <c r="K10" s="57">
        <v>148.0</v>
      </c>
      <c r="L10" s="57">
        <v>149.375</v>
      </c>
      <c r="M10" s="109">
        <v>46.875</v>
      </c>
      <c r="N10" s="57">
        <v>150.5</v>
      </c>
      <c r="O10" s="57">
        <v>265.0</v>
      </c>
      <c r="P10" s="109">
        <v>0.0</v>
      </c>
      <c r="Q10" s="57">
        <v>154.75</v>
      </c>
      <c r="R10" s="107">
        <v>0.0</v>
      </c>
      <c r="S10" s="57">
        <v>122.0</v>
      </c>
      <c r="T10" s="107">
        <v>0.0</v>
      </c>
      <c r="U10" s="57">
        <v>126.75</v>
      </c>
      <c r="V10" s="107">
        <v>0.0</v>
      </c>
      <c r="W10" s="105">
        <v>46.0</v>
      </c>
      <c r="X10" s="57">
        <v>173.75</v>
      </c>
      <c r="Y10" s="57">
        <v>102.5</v>
      </c>
      <c r="Z10" s="30"/>
      <c r="AA10" s="30"/>
      <c r="AD10" s="94">
        <v>8.0</v>
      </c>
      <c r="AE10" s="96" t="s">
        <v>7</v>
      </c>
      <c r="AF10" s="98" t="s">
        <v>148</v>
      </c>
      <c r="AG10" s="97" t="s">
        <v>7</v>
      </c>
      <c r="AH10" s="97">
        <v>20.0</v>
      </c>
    </row>
    <row r="11" ht="14.25" customHeight="1">
      <c r="A11" s="60">
        <v>8.0</v>
      </c>
      <c r="B11" s="102">
        <v>118.5</v>
      </c>
      <c r="C11" s="57">
        <v>264.75</v>
      </c>
      <c r="D11" s="57">
        <v>325.5</v>
      </c>
      <c r="E11" s="57">
        <v>123.5</v>
      </c>
      <c r="F11" s="57">
        <v>287.5</v>
      </c>
      <c r="G11" s="57">
        <v>226.25</v>
      </c>
      <c r="H11" s="57">
        <v>225.0</v>
      </c>
      <c r="I11" s="57">
        <v>166.0</v>
      </c>
      <c r="J11" s="107">
        <v>35.0</v>
      </c>
      <c r="K11" s="104">
        <v>0.0</v>
      </c>
      <c r="L11" s="57">
        <v>193.75</v>
      </c>
      <c r="M11" s="109">
        <v>62.5</v>
      </c>
      <c r="N11" s="57">
        <v>192.0</v>
      </c>
      <c r="O11" s="57">
        <v>177.5</v>
      </c>
      <c r="P11" s="57">
        <v>112.5</v>
      </c>
      <c r="Q11" s="57">
        <v>293.75</v>
      </c>
      <c r="R11" s="104">
        <v>54.2</v>
      </c>
      <c r="S11" s="57">
        <v>121.0</v>
      </c>
      <c r="T11" s="107">
        <v>0.0</v>
      </c>
      <c r="U11" s="57">
        <v>104.565</v>
      </c>
      <c r="V11" s="107">
        <v>0.0</v>
      </c>
      <c r="W11" s="105">
        <v>64.0</v>
      </c>
      <c r="X11" s="57">
        <v>130.0</v>
      </c>
      <c r="Y11" s="57">
        <v>135.0</v>
      </c>
      <c r="Z11" s="30"/>
      <c r="AA11" s="30"/>
      <c r="AD11" s="94">
        <v>9.0</v>
      </c>
      <c r="AE11" s="96" t="s">
        <v>8</v>
      </c>
      <c r="AF11" s="98" t="s">
        <v>149</v>
      </c>
      <c r="AG11" s="110" t="s">
        <v>0</v>
      </c>
      <c r="AH11" s="110">
        <v>45.0</v>
      </c>
    </row>
    <row r="12" ht="14.25" customHeight="1">
      <c r="A12" s="60">
        <v>9.0</v>
      </c>
      <c r="B12" s="102">
        <v>157.0</v>
      </c>
      <c r="C12" s="57">
        <v>288.75</v>
      </c>
      <c r="D12" s="57">
        <v>167.5</v>
      </c>
      <c r="E12" s="57">
        <v>144.0</v>
      </c>
      <c r="F12" s="57">
        <v>218.0</v>
      </c>
      <c r="G12" s="57">
        <v>240.0</v>
      </c>
      <c r="H12" s="57">
        <v>337.5</v>
      </c>
      <c r="I12" s="58">
        <v>116.0</v>
      </c>
      <c r="J12" s="58">
        <v>120.0</v>
      </c>
      <c r="K12" s="106">
        <v>56.0</v>
      </c>
      <c r="L12" s="57">
        <v>148.125</v>
      </c>
      <c r="M12" s="57">
        <v>159.375</v>
      </c>
      <c r="N12" s="58">
        <v>101.0</v>
      </c>
      <c r="O12" s="57">
        <v>175.0</v>
      </c>
      <c r="P12" s="58">
        <v>109.0</v>
      </c>
      <c r="Q12" s="57">
        <v>158.625</v>
      </c>
      <c r="R12" s="87">
        <v>72.5</v>
      </c>
      <c r="S12" s="57">
        <v>126.0</v>
      </c>
      <c r="T12" s="111">
        <v>0.0</v>
      </c>
      <c r="U12" s="112">
        <v>100.32</v>
      </c>
      <c r="V12" s="106">
        <v>93.0</v>
      </c>
      <c r="W12" s="57">
        <v>117.0</v>
      </c>
      <c r="X12" s="57">
        <v>168.75</v>
      </c>
      <c r="Y12" s="57">
        <v>126.875</v>
      </c>
      <c r="Z12" s="30"/>
      <c r="AA12" s="30"/>
      <c r="AD12" s="94">
        <v>10.0</v>
      </c>
      <c r="AE12" s="96" t="s">
        <v>9</v>
      </c>
      <c r="AF12" s="113" t="s">
        <v>150</v>
      </c>
      <c r="AG12" s="110" t="s">
        <v>151</v>
      </c>
      <c r="AH12" s="110">
        <v>11.0</v>
      </c>
    </row>
    <row r="13" ht="14.25" customHeight="1">
      <c r="A13" s="94">
        <v>10.0</v>
      </c>
      <c r="B13" s="57">
        <v>278.5</v>
      </c>
      <c r="C13" s="57">
        <v>279.375</v>
      </c>
      <c r="D13" s="57">
        <v>241.0</v>
      </c>
      <c r="E13" s="57">
        <v>133.0</v>
      </c>
      <c r="F13" s="57">
        <v>268.0</v>
      </c>
      <c r="G13" s="57">
        <v>300.0</v>
      </c>
      <c r="H13" s="57">
        <v>262.5</v>
      </c>
      <c r="I13" s="58">
        <v>144.0</v>
      </c>
      <c r="J13" s="57">
        <v>204.0</v>
      </c>
      <c r="K13" s="57">
        <v>171.0</v>
      </c>
      <c r="L13" s="57">
        <v>208.375</v>
      </c>
      <c r="M13" s="57">
        <v>159.375</v>
      </c>
      <c r="N13" s="107">
        <v>30.0</v>
      </c>
      <c r="O13" s="57">
        <v>235.0</v>
      </c>
      <c r="P13" s="57">
        <v>137.0</v>
      </c>
      <c r="Q13" s="102">
        <v>102.25</v>
      </c>
      <c r="R13" s="57">
        <v>149.54999999999998</v>
      </c>
      <c r="S13" s="57">
        <v>101.0</v>
      </c>
      <c r="T13" s="57">
        <v>177.5</v>
      </c>
      <c r="U13" s="57">
        <v>110.71000000000001</v>
      </c>
      <c r="V13" s="57">
        <v>113.0</v>
      </c>
      <c r="W13" s="106">
        <v>0.0</v>
      </c>
      <c r="X13" s="102">
        <v>108.75</v>
      </c>
      <c r="Y13" s="57">
        <v>123.75</v>
      </c>
      <c r="Z13" s="30"/>
      <c r="AA13" s="30"/>
      <c r="AD13" s="94">
        <v>11.0</v>
      </c>
      <c r="AE13" s="96" t="s">
        <v>10</v>
      </c>
      <c r="AF13" s="113" t="s">
        <v>26</v>
      </c>
      <c r="AG13" s="110" t="s">
        <v>26</v>
      </c>
      <c r="AH13" s="110" t="s">
        <v>26</v>
      </c>
    </row>
    <row r="14" ht="14.25" customHeight="1">
      <c r="A14" s="94">
        <v>11.0</v>
      </c>
      <c r="B14" s="57">
        <v>280.0</v>
      </c>
      <c r="C14" s="57">
        <v>207.125</v>
      </c>
      <c r="D14" s="58">
        <v>157.0</v>
      </c>
      <c r="E14" s="57">
        <v>110.0</v>
      </c>
      <c r="F14" s="58">
        <v>219.5</v>
      </c>
      <c r="G14" s="57">
        <v>247.5</v>
      </c>
      <c r="H14" s="57">
        <v>225.0</v>
      </c>
      <c r="I14" s="58">
        <v>182.0</v>
      </c>
      <c r="J14" s="57">
        <v>119.0</v>
      </c>
      <c r="K14" s="107">
        <v>0.0</v>
      </c>
      <c r="L14" s="58">
        <v>195.0</v>
      </c>
      <c r="M14" s="57">
        <v>140.625</v>
      </c>
      <c r="N14" s="58">
        <v>101.0</v>
      </c>
      <c r="O14" s="57">
        <v>228.0</v>
      </c>
      <c r="P14" s="57">
        <v>102.0</v>
      </c>
      <c r="Q14" s="57">
        <v>149.625</v>
      </c>
      <c r="R14" s="57">
        <v>128.675</v>
      </c>
      <c r="S14" s="58">
        <v>169.0</v>
      </c>
      <c r="T14" s="58">
        <v>103.1</v>
      </c>
      <c r="U14" s="57">
        <v>106.1</v>
      </c>
      <c r="V14" s="57">
        <v>104.0</v>
      </c>
      <c r="W14" s="114">
        <v>63.0</v>
      </c>
      <c r="X14" s="58">
        <v>223.8</v>
      </c>
      <c r="Y14" s="57">
        <v>143.75</v>
      </c>
      <c r="Z14" s="30"/>
      <c r="AA14" s="30"/>
      <c r="AD14" s="94">
        <v>12.0</v>
      </c>
      <c r="AE14" s="96" t="s">
        <v>11</v>
      </c>
      <c r="AF14" s="113" t="s">
        <v>26</v>
      </c>
      <c r="AG14" s="110" t="s">
        <v>26</v>
      </c>
      <c r="AH14" s="110" t="s">
        <v>26</v>
      </c>
    </row>
    <row r="15" ht="14.25" customHeight="1">
      <c r="A15" s="60">
        <v>12.0</v>
      </c>
      <c r="B15" s="102">
        <v>149.0</v>
      </c>
      <c r="C15" s="57">
        <v>256.75</v>
      </c>
      <c r="D15" s="57">
        <v>123.5</v>
      </c>
      <c r="E15" s="57">
        <v>125.0</v>
      </c>
      <c r="F15" s="102">
        <v>145.5</v>
      </c>
      <c r="G15" s="57">
        <v>225.0</v>
      </c>
      <c r="H15" s="57">
        <v>187.5</v>
      </c>
      <c r="I15" s="57">
        <v>198.0</v>
      </c>
      <c r="J15" s="57">
        <v>188.5</v>
      </c>
      <c r="K15" s="57">
        <v>109.0</v>
      </c>
      <c r="L15" s="102">
        <v>101.25</v>
      </c>
      <c r="M15" s="65">
        <v>225.0</v>
      </c>
      <c r="N15" s="57">
        <v>107.5</v>
      </c>
      <c r="O15" s="57">
        <v>300.0</v>
      </c>
      <c r="P15" s="57">
        <v>100.0</v>
      </c>
      <c r="Q15" s="57">
        <v>190.75</v>
      </c>
      <c r="R15" s="57">
        <v>163.23000000000002</v>
      </c>
      <c r="S15" s="107">
        <v>26.0</v>
      </c>
      <c r="T15" s="57">
        <v>155.0</v>
      </c>
      <c r="U15" s="102">
        <v>100.0</v>
      </c>
      <c r="V15" s="57">
        <v>102.0</v>
      </c>
      <c r="W15" s="105">
        <v>34.5</v>
      </c>
      <c r="X15" s="109">
        <v>16.25</v>
      </c>
      <c r="Y15" s="57">
        <v>146.25</v>
      </c>
      <c r="Z15" s="30"/>
      <c r="AA15" s="30"/>
      <c r="AD15" s="94">
        <v>13.0</v>
      </c>
      <c r="AE15" s="96" t="s">
        <v>12</v>
      </c>
      <c r="AF15" s="113" t="s">
        <v>152</v>
      </c>
      <c r="AG15" s="110" t="s">
        <v>15</v>
      </c>
      <c r="AH15" s="110">
        <v>177.0</v>
      </c>
    </row>
    <row r="16" ht="14.25" customHeight="1">
      <c r="A16" s="94">
        <v>13.0</v>
      </c>
      <c r="B16" s="57">
        <v>312.5</v>
      </c>
      <c r="C16" s="57">
        <v>354.625</v>
      </c>
      <c r="D16" s="57">
        <v>169.0</v>
      </c>
      <c r="E16" s="57">
        <v>173.0</v>
      </c>
      <c r="F16" s="57">
        <v>181.0</v>
      </c>
      <c r="G16" s="57">
        <v>250.0</v>
      </c>
      <c r="H16" s="57">
        <v>212.5</v>
      </c>
      <c r="I16" s="58">
        <v>125.5</v>
      </c>
      <c r="J16" s="57">
        <v>139.0</v>
      </c>
      <c r="K16" s="57">
        <v>127.0</v>
      </c>
      <c r="L16" s="57">
        <v>211.25</v>
      </c>
      <c r="M16" s="57">
        <v>180.0</v>
      </c>
      <c r="N16" s="57">
        <v>311.5</v>
      </c>
      <c r="O16" s="57">
        <v>351.0</v>
      </c>
      <c r="P16" s="57">
        <v>123.5</v>
      </c>
      <c r="Q16" s="57">
        <v>327.875</v>
      </c>
      <c r="R16" s="57">
        <v>109.9</v>
      </c>
      <c r="S16" s="107">
        <v>20.0</v>
      </c>
      <c r="T16" s="57">
        <v>210.0</v>
      </c>
      <c r="U16" s="57">
        <v>102.005</v>
      </c>
      <c r="V16" s="57">
        <v>113.0</v>
      </c>
      <c r="W16" s="105">
        <v>0.0</v>
      </c>
      <c r="X16" s="102">
        <v>106.25</v>
      </c>
      <c r="Y16" s="105">
        <v>65.0</v>
      </c>
      <c r="Z16" s="30"/>
      <c r="AA16" s="30"/>
      <c r="AD16" s="94">
        <v>14.0</v>
      </c>
      <c r="AE16" s="96" t="s">
        <v>13</v>
      </c>
      <c r="AF16" s="113" t="s">
        <v>153</v>
      </c>
      <c r="AG16" s="110" t="s">
        <v>3</v>
      </c>
      <c r="AH16" s="110">
        <v>46.0</v>
      </c>
    </row>
    <row r="17" ht="14.25" customHeight="1">
      <c r="A17" s="94">
        <v>14.0</v>
      </c>
      <c r="B17" s="57">
        <v>306.0</v>
      </c>
      <c r="C17" s="57">
        <v>125.375</v>
      </c>
      <c r="D17" s="107">
        <v>0.0</v>
      </c>
      <c r="E17" s="57">
        <v>168.0</v>
      </c>
      <c r="F17" s="57">
        <v>193.0</v>
      </c>
      <c r="G17" s="57">
        <v>150.0</v>
      </c>
      <c r="H17" s="102">
        <v>150.0</v>
      </c>
      <c r="I17" s="58">
        <v>353.0</v>
      </c>
      <c r="J17" s="57">
        <v>121.5</v>
      </c>
      <c r="K17" s="57">
        <v>194.0</v>
      </c>
      <c r="L17" s="57">
        <v>285.0</v>
      </c>
      <c r="M17" s="57">
        <v>108.125</v>
      </c>
      <c r="N17" s="57">
        <v>101.0</v>
      </c>
      <c r="O17" s="57">
        <v>219.0</v>
      </c>
      <c r="P17" s="115">
        <v>30.0</v>
      </c>
      <c r="Q17" s="102">
        <v>104.0</v>
      </c>
      <c r="R17" s="57">
        <v>109.755</v>
      </c>
      <c r="S17" s="107">
        <v>0.0</v>
      </c>
      <c r="T17" s="57">
        <v>147.5</v>
      </c>
      <c r="U17" s="57">
        <v>116.675</v>
      </c>
      <c r="V17" s="116">
        <v>49.0</v>
      </c>
      <c r="W17" s="108">
        <v>0.0</v>
      </c>
      <c r="X17" s="57">
        <v>109.375</v>
      </c>
      <c r="Y17" s="57">
        <v>140.625</v>
      </c>
      <c r="Z17" s="30"/>
      <c r="AA17" s="30"/>
      <c r="AD17" s="94">
        <v>15.0</v>
      </c>
      <c r="AE17" s="96" t="s">
        <v>14</v>
      </c>
      <c r="AF17" s="113" t="s">
        <v>26</v>
      </c>
      <c r="AG17" s="110" t="s">
        <v>26</v>
      </c>
      <c r="AH17" s="110" t="s">
        <v>26</v>
      </c>
    </row>
    <row r="18" ht="14.25" customHeight="1">
      <c r="A18" s="94">
        <v>15.0</v>
      </c>
      <c r="B18" s="57">
        <v>257.5</v>
      </c>
      <c r="C18" s="57">
        <v>209.0</v>
      </c>
      <c r="D18" s="57">
        <v>143.5</v>
      </c>
      <c r="E18" s="57">
        <v>105.0</v>
      </c>
      <c r="F18" s="57">
        <v>215.5</v>
      </c>
      <c r="G18" s="57">
        <v>262.5</v>
      </c>
      <c r="H18" s="57">
        <v>262.5</v>
      </c>
      <c r="I18" s="57">
        <v>157.0</v>
      </c>
      <c r="J18" s="57">
        <v>224.0</v>
      </c>
      <c r="K18" s="58">
        <v>202.0</v>
      </c>
      <c r="L18" s="57">
        <v>174.375</v>
      </c>
      <c r="M18" s="57">
        <v>153.125</v>
      </c>
      <c r="N18" s="57">
        <v>121.5</v>
      </c>
      <c r="O18" s="58">
        <v>174.0</v>
      </c>
      <c r="P18" s="57">
        <v>125.0</v>
      </c>
      <c r="Q18" s="57">
        <v>194.25</v>
      </c>
      <c r="R18" s="57">
        <v>167.3</v>
      </c>
      <c r="S18" s="106">
        <v>63.0</v>
      </c>
      <c r="T18" s="57">
        <v>200.49999999999997</v>
      </c>
      <c r="U18" s="57">
        <v>128.05</v>
      </c>
      <c r="V18" s="57">
        <v>101.0</v>
      </c>
      <c r="W18" s="57">
        <v>117.5</v>
      </c>
      <c r="X18" s="57">
        <v>173.75</v>
      </c>
      <c r="Y18" s="57">
        <v>132.5</v>
      </c>
      <c r="Z18" s="30"/>
      <c r="AA18" s="30"/>
      <c r="AD18" s="94">
        <v>16.0</v>
      </c>
      <c r="AE18" s="96" t="s">
        <v>15</v>
      </c>
      <c r="AF18" s="110" t="s">
        <v>96</v>
      </c>
      <c r="AG18" s="110" t="s">
        <v>18</v>
      </c>
      <c r="AH18" s="110">
        <v>96.0</v>
      </c>
    </row>
    <row r="19" ht="14.25" customHeight="1">
      <c r="A19" s="94">
        <v>16.0</v>
      </c>
      <c r="B19" s="57">
        <v>300.5</v>
      </c>
      <c r="C19" s="57">
        <v>328.875</v>
      </c>
      <c r="D19" s="57">
        <v>194.0</v>
      </c>
      <c r="E19" s="102">
        <v>103.0</v>
      </c>
      <c r="F19" s="57">
        <v>235.0</v>
      </c>
      <c r="G19" s="57">
        <v>206.25</v>
      </c>
      <c r="H19" s="57">
        <v>225.0</v>
      </c>
      <c r="I19" s="57">
        <v>209.0</v>
      </c>
      <c r="J19" s="57">
        <v>107.75</v>
      </c>
      <c r="K19" s="57">
        <v>113.0</v>
      </c>
      <c r="L19" s="57">
        <v>233.125</v>
      </c>
      <c r="M19" s="57">
        <v>200.0</v>
      </c>
      <c r="N19" s="58">
        <v>108.0</v>
      </c>
      <c r="O19" s="58">
        <v>182.0</v>
      </c>
      <c r="P19" s="57">
        <v>115.5</v>
      </c>
      <c r="Q19" s="57">
        <v>199.375</v>
      </c>
      <c r="R19" s="57">
        <v>134.7</v>
      </c>
      <c r="S19" s="57">
        <v>100.0</v>
      </c>
      <c r="T19" s="57">
        <v>351.875</v>
      </c>
      <c r="U19" s="57">
        <v>103.5</v>
      </c>
      <c r="V19" s="57">
        <v>101.0</v>
      </c>
      <c r="W19" s="57">
        <v>208.5</v>
      </c>
      <c r="X19" s="57">
        <v>131.25</v>
      </c>
      <c r="Y19" s="57">
        <v>110.625</v>
      </c>
      <c r="Z19" s="57"/>
      <c r="AA19" s="30"/>
      <c r="AD19" s="94">
        <v>17.0</v>
      </c>
      <c r="AE19" s="96" t="s">
        <v>16</v>
      </c>
      <c r="AF19" s="110" t="s">
        <v>154</v>
      </c>
      <c r="AG19" s="110" t="s">
        <v>155</v>
      </c>
      <c r="AH19" s="110">
        <v>10.0</v>
      </c>
    </row>
    <row r="20" ht="14.25" customHeight="1">
      <c r="A20" s="94">
        <v>17.0</v>
      </c>
      <c r="B20" s="57">
        <v>278.5</v>
      </c>
      <c r="C20" s="57">
        <v>341.375</v>
      </c>
      <c r="D20" s="57">
        <v>182.0</v>
      </c>
      <c r="E20" s="57">
        <v>162.0</v>
      </c>
      <c r="F20" s="57">
        <v>259.5</v>
      </c>
      <c r="G20" s="57">
        <v>197.5</v>
      </c>
      <c r="H20" s="57">
        <v>197.5</v>
      </c>
      <c r="I20" s="58">
        <v>259.0</v>
      </c>
      <c r="J20" s="57">
        <v>233.0</v>
      </c>
      <c r="K20" s="57">
        <v>269.0</v>
      </c>
      <c r="L20" s="57">
        <v>223.75</v>
      </c>
      <c r="M20" s="57">
        <v>214.375</v>
      </c>
      <c r="N20" s="57">
        <v>137.0</v>
      </c>
      <c r="O20" s="57">
        <v>158.0</v>
      </c>
      <c r="P20" s="57">
        <v>101.5</v>
      </c>
      <c r="Q20" s="102">
        <v>108.5</v>
      </c>
      <c r="R20" s="57">
        <v>132.56</v>
      </c>
      <c r="S20" s="57">
        <v>140.0</v>
      </c>
      <c r="T20" s="57">
        <v>300.0</v>
      </c>
      <c r="U20" s="57">
        <v>100.67</v>
      </c>
      <c r="V20" s="57">
        <v>117.0</v>
      </c>
      <c r="W20" s="117">
        <v>20.0</v>
      </c>
      <c r="X20" s="57">
        <v>205.0</v>
      </c>
      <c r="Y20" s="57">
        <v>116.875</v>
      </c>
      <c r="Z20" s="57"/>
      <c r="AA20" s="30"/>
      <c r="AD20" s="94">
        <v>18.0</v>
      </c>
      <c r="AE20" s="96" t="s">
        <v>17</v>
      </c>
      <c r="AF20" s="110" t="s">
        <v>156</v>
      </c>
      <c r="AG20" s="110" t="s">
        <v>4</v>
      </c>
      <c r="AH20" s="110">
        <v>163.0</v>
      </c>
    </row>
    <row r="21" ht="14.25" customHeight="1">
      <c r="A21" s="94">
        <v>18.0</v>
      </c>
      <c r="B21" s="57">
        <v>305.0</v>
      </c>
      <c r="C21" s="57">
        <v>449.5</v>
      </c>
      <c r="D21" s="57">
        <v>191.5</v>
      </c>
      <c r="E21" s="57">
        <v>120.0</v>
      </c>
      <c r="F21" s="57">
        <v>316.5</v>
      </c>
      <c r="G21" s="57">
        <v>225.0</v>
      </c>
      <c r="H21" s="57">
        <v>225.0</v>
      </c>
      <c r="I21" s="57">
        <v>276.0</v>
      </c>
      <c r="J21" s="57">
        <v>172.5</v>
      </c>
      <c r="K21" s="57">
        <v>105.0</v>
      </c>
      <c r="L21" s="57">
        <v>289.375</v>
      </c>
      <c r="M21" s="57">
        <v>151.875</v>
      </c>
      <c r="N21" s="57">
        <v>200.0</v>
      </c>
      <c r="O21" s="57">
        <v>205.0</v>
      </c>
      <c r="P21" s="57">
        <v>103.0</v>
      </c>
      <c r="Q21" s="57">
        <v>192.75</v>
      </c>
      <c r="R21" s="57">
        <v>139.7</v>
      </c>
      <c r="S21" s="57">
        <v>161.0</v>
      </c>
      <c r="T21" s="57">
        <v>346.25</v>
      </c>
      <c r="U21" s="57">
        <v>164.29000000000002</v>
      </c>
      <c r="V21" s="57">
        <v>127.0</v>
      </c>
      <c r="W21" s="57">
        <v>101.5</v>
      </c>
      <c r="X21" s="57">
        <v>188.75</v>
      </c>
      <c r="Y21" s="57">
        <v>167.5</v>
      </c>
      <c r="Z21" s="30"/>
      <c r="AA21" s="30"/>
      <c r="AD21" s="94">
        <v>19.0</v>
      </c>
      <c r="AE21" s="96" t="s">
        <v>18</v>
      </c>
      <c r="AF21" s="110" t="s">
        <v>157</v>
      </c>
      <c r="AG21" s="110" t="s">
        <v>158</v>
      </c>
      <c r="AH21" s="110" t="s">
        <v>159</v>
      </c>
    </row>
    <row r="22" ht="14.25" customHeight="1">
      <c r="A22" s="94">
        <v>19.0</v>
      </c>
      <c r="B22" s="57">
        <v>252.0</v>
      </c>
      <c r="C22" s="57">
        <v>353.625</v>
      </c>
      <c r="D22" s="57">
        <v>301.0</v>
      </c>
      <c r="E22" s="57">
        <v>227.0</v>
      </c>
      <c r="F22" s="57">
        <v>286.0</v>
      </c>
      <c r="G22" s="57">
        <v>297.5</v>
      </c>
      <c r="H22" s="57">
        <v>387.5</v>
      </c>
      <c r="I22" s="102">
        <v>107.5</v>
      </c>
      <c r="J22" s="57">
        <v>203.0</v>
      </c>
      <c r="K22" s="57">
        <v>151.0</v>
      </c>
      <c r="L22" s="57">
        <v>350.625</v>
      </c>
      <c r="M22" s="57">
        <v>271.25</v>
      </c>
      <c r="N22" s="57">
        <v>273.20000000000005</v>
      </c>
      <c r="O22" s="57">
        <v>306.0</v>
      </c>
      <c r="P22" s="57">
        <v>138.9</v>
      </c>
      <c r="Q22" s="57">
        <v>170.625</v>
      </c>
      <c r="R22" s="57">
        <v>299.99</v>
      </c>
      <c r="S22" s="57">
        <v>161.0</v>
      </c>
      <c r="T22" s="57">
        <v>450.0</v>
      </c>
      <c r="U22" s="57">
        <v>147.79</v>
      </c>
      <c r="V22" s="57">
        <v>103.0</v>
      </c>
      <c r="W22" s="108">
        <v>0.0</v>
      </c>
      <c r="X22" s="57">
        <v>307.5</v>
      </c>
      <c r="Y22" s="57">
        <v>205.0</v>
      </c>
      <c r="Z22" s="30"/>
      <c r="AA22" s="30"/>
      <c r="AD22" s="94">
        <v>20.0</v>
      </c>
      <c r="AE22" s="96" t="s">
        <v>19</v>
      </c>
      <c r="AF22" s="110" t="s">
        <v>157</v>
      </c>
      <c r="AG22" s="110" t="s">
        <v>158</v>
      </c>
      <c r="AH22" s="110" t="s">
        <v>159</v>
      </c>
    </row>
    <row r="23" ht="14.25" customHeight="1">
      <c r="A23" s="94">
        <v>20.0</v>
      </c>
      <c r="B23" s="57">
        <v>183.0</v>
      </c>
      <c r="C23" s="57">
        <v>377.5</v>
      </c>
      <c r="D23" s="57">
        <v>387.0</v>
      </c>
      <c r="E23" s="57">
        <v>132.0</v>
      </c>
      <c r="F23" s="57">
        <v>188.0</v>
      </c>
      <c r="G23" s="57">
        <v>361.25</v>
      </c>
      <c r="H23" s="57">
        <v>237.5</v>
      </c>
      <c r="I23" s="57">
        <v>217.0</v>
      </c>
      <c r="J23" s="57">
        <v>128.5</v>
      </c>
      <c r="K23" s="57">
        <v>146.0</v>
      </c>
      <c r="L23" s="57">
        <v>349.25</v>
      </c>
      <c r="M23" s="57">
        <v>321.875</v>
      </c>
      <c r="N23" s="57">
        <v>106.0</v>
      </c>
      <c r="O23" s="57">
        <v>319.0</v>
      </c>
      <c r="P23" s="107">
        <v>0.0</v>
      </c>
      <c r="Q23" s="57">
        <v>219.875</v>
      </c>
      <c r="R23" s="57">
        <v>107.30000000000001</v>
      </c>
      <c r="S23" s="57">
        <v>124.0</v>
      </c>
      <c r="T23" s="57">
        <v>505.625</v>
      </c>
      <c r="U23" s="57">
        <v>305.65</v>
      </c>
      <c r="V23" s="57">
        <v>102.0</v>
      </c>
      <c r="W23" s="57">
        <v>129.0</v>
      </c>
      <c r="X23" s="57">
        <v>202.5</v>
      </c>
      <c r="Y23" s="57">
        <v>196.25</v>
      </c>
      <c r="Z23" s="30"/>
      <c r="AA23" s="30"/>
      <c r="AD23" s="94">
        <v>21.0</v>
      </c>
      <c r="AE23" s="96" t="s">
        <v>20</v>
      </c>
      <c r="AF23" s="110" t="s">
        <v>160</v>
      </c>
      <c r="AG23" s="110" t="s">
        <v>161</v>
      </c>
      <c r="AH23" s="97"/>
    </row>
    <row r="24" ht="14.25" customHeight="1">
      <c r="A24" s="94">
        <v>21.0</v>
      </c>
      <c r="B24" s="57">
        <v>330.5</v>
      </c>
      <c r="C24" s="57">
        <v>423.375</v>
      </c>
      <c r="D24" s="57">
        <v>385.5</v>
      </c>
      <c r="E24" s="57">
        <v>196.0</v>
      </c>
      <c r="F24" s="57">
        <v>191.5</v>
      </c>
      <c r="G24" s="57">
        <v>225.0</v>
      </c>
      <c r="H24" s="57">
        <v>262.5</v>
      </c>
      <c r="I24" s="57">
        <v>130.5</v>
      </c>
      <c r="J24" s="57">
        <v>298.875</v>
      </c>
      <c r="K24" s="57">
        <v>101.0</v>
      </c>
      <c r="L24" s="57">
        <v>161.25</v>
      </c>
      <c r="M24" s="102">
        <v>100.0</v>
      </c>
      <c r="N24" s="102">
        <v>100.5</v>
      </c>
      <c r="O24" s="57">
        <v>329.0</v>
      </c>
      <c r="P24" s="118">
        <v>45.0</v>
      </c>
      <c r="Q24" s="57">
        <v>191.75</v>
      </c>
      <c r="R24" s="107">
        <v>35.0</v>
      </c>
      <c r="S24" s="57">
        <v>172.0</v>
      </c>
      <c r="T24" s="57">
        <v>100.0</v>
      </c>
      <c r="U24" s="119">
        <v>63.339999999999996</v>
      </c>
      <c r="V24" s="57">
        <v>133.0</v>
      </c>
      <c r="W24" s="116">
        <v>0.0</v>
      </c>
      <c r="X24" s="57">
        <v>208.75</v>
      </c>
      <c r="Y24" s="57">
        <v>104.375</v>
      </c>
      <c r="Z24" s="30"/>
      <c r="AD24" s="94">
        <v>22.0</v>
      </c>
      <c r="AE24" s="96" t="s">
        <v>21</v>
      </c>
      <c r="AF24" s="110" t="s">
        <v>162</v>
      </c>
      <c r="AG24" s="110" t="s">
        <v>16</v>
      </c>
      <c r="AH24" s="110">
        <v>113500.0</v>
      </c>
    </row>
    <row r="25" ht="14.25" customHeight="1">
      <c r="A25" s="94">
        <v>22.0</v>
      </c>
      <c r="B25" s="57">
        <v>233.0</v>
      </c>
      <c r="C25" s="57">
        <v>217.65</v>
      </c>
      <c r="D25" s="57">
        <v>192.0</v>
      </c>
      <c r="E25" s="102">
        <v>100.0</v>
      </c>
      <c r="F25" s="57">
        <v>305.0</v>
      </c>
      <c r="G25" s="57">
        <v>276.25</v>
      </c>
      <c r="H25" s="57">
        <v>262.5</v>
      </c>
      <c r="I25" s="57">
        <v>150.0</v>
      </c>
      <c r="J25" s="57">
        <v>187.4</v>
      </c>
      <c r="K25" s="107">
        <v>0.0</v>
      </c>
      <c r="L25" s="57">
        <v>335.25</v>
      </c>
      <c r="M25" s="57">
        <v>159.375</v>
      </c>
      <c r="N25" s="57">
        <v>167.0</v>
      </c>
      <c r="O25" s="102">
        <v>155.0</v>
      </c>
      <c r="P25" s="116">
        <v>0.0</v>
      </c>
      <c r="Q25" s="57">
        <v>323.35</v>
      </c>
      <c r="R25" s="57">
        <v>140.3</v>
      </c>
      <c r="S25" s="57">
        <v>101.0</v>
      </c>
      <c r="T25" s="57">
        <v>110.0</v>
      </c>
      <c r="U25" s="57">
        <v>211.24</v>
      </c>
      <c r="V25" s="87">
        <v>61.0</v>
      </c>
      <c r="W25" s="116">
        <v>0.0</v>
      </c>
      <c r="X25" s="57">
        <v>111.25</v>
      </c>
      <c r="Y25" s="57">
        <v>115.0</v>
      </c>
      <c r="Z25" s="30"/>
      <c r="AD25" s="94">
        <v>23.0</v>
      </c>
      <c r="AE25" s="96" t="s">
        <v>22</v>
      </c>
      <c r="AF25" s="113" t="s">
        <v>163</v>
      </c>
      <c r="AG25" s="110" t="s">
        <v>17</v>
      </c>
      <c r="AH25" s="120">
        <v>0.06458333333333334</v>
      </c>
    </row>
    <row r="26" ht="14.25" customHeight="1">
      <c r="A26" s="94">
        <v>23.0</v>
      </c>
      <c r="B26" s="57">
        <v>410.0</v>
      </c>
      <c r="C26" s="102">
        <v>114.85</v>
      </c>
      <c r="D26" s="57">
        <v>164.5</v>
      </c>
      <c r="E26" s="58">
        <v>105.0</v>
      </c>
      <c r="F26" s="57">
        <v>244.5</v>
      </c>
      <c r="G26" s="102">
        <v>142.5</v>
      </c>
      <c r="H26" s="57">
        <v>225.0</v>
      </c>
      <c r="I26" s="58">
        <v>166.5</v>
      </c>
      <c r="J26" s="57">
        <v>168.5</v>
      </c>
      <c r="K26" s="57">
        <v>100.5</v>
      </c>
      <c r="L26" s="57">
        <v>249.375</v>
      </c>
      <c r="M26" s="57">
        <v>171.875</v>
      </c>
      <c r="N26" s="57">
        <v>121.5</v>
      </c>
      <c r="O26" s="102">
        <v>151.0</v>
      </c>
      <c r="P26" s="57">
        <v>106.5</v>
      </c>
      <c r="Q26" s="57">
        <v>181.375</v>
      </c>
      <c r="R26" s="106">
        <v>116.80000000000001</v>
      </c>
      <c r="S26" s="57">
        <v>130.0</v>
      </c>
      <c r="T26" s="57">
        <v>158.75</v>
      </c>
      <c r="U26" s="57">
        <v>176.51999999999998</v>
      </c>
      <c r="V26" s="57">
        <v>102.0</v>
      </c>
      <c r="W26" s="116">
        <v>0.0</v>
      </c>
      <c r="X26" s="57">
        <v>162.5</v>
      </c>
      <c r="Y26" s="58">
        <v>102.3</v>
      </c>
      <c r="Z26" s="30"/>
      <c r="AD26" s="94">
        <v>24.0</v>
      </c>
      <c r="AE26" s="96" t="s">
        <v>23</v>
      </c>
      <c r="AF26" s="113" t="s">
        <v>164</v>
      </c>
      <c r="AG26" s="113" t="s">
        <v>165</v>
      </c>
      <c r="AH26" s="110">
        <v>703.0</v>
      </c>
    </row>
    <row r="27" ht="14.25" customHeight="1">
      <c r="A27" s="94" t="s">
        <v>166</v>
      </c>
      <c r="B27" s="57">
        <v>514.0</v>
      </c>
      <c r="C27" s="57">
        <v>200.49999999999997</v>
      </c>
      <c r="D27" s="57">
        <v>305.0</v>
      </c>
      <c r="E27" s="57">
        <v>135.0</v>
      </c>
      <c r="F27" s="57">
        <v>204.0</v>
      </c>
      <c r="G27" s="57">
        <v>225.0</v>
      </c>
      <c r="H27" s="102">
        <v>187.5</v>
      </c>
      <c r="I27" s="57">
        <v>286.0</v>
      </c>
      <c r="J27" s="57">
        <v>221.5</v>
      </c>
      <c r="K27" s="57">
        <v>134.0</v>
      </c>
      <c r="L27" s="57">
        <v>233.0</v>
      </c>
      <c r="M27" s="57">
        <v>234.375</v>
      </c>
      <c r="N27" s="57">
        <v>206.0</v>
      </c>
      <c r="O27" s="57">
        <v>209.0</v>
      </c>
      <c r="P27" s="87">
        <v>10.0</v>
      </c>
      <c r="Q27" s="57">
        <v>210.25</v>
      </c>
      <c r="R27" s="57">
        <v>103.6</v>
      </c>
      <c r="S27" s="57">
        <v>103.0</v>
      </c>
      <c r="T27" s="57">
        <v>281.25</v>
      </c>
      <c r="U27" s="57">
        <v>148.35</v>
      </c>
      <c r="V27" s="57">
        <v>122.0</v>
      </c>
      <c r="W27" s="57">
        <v>348.0</v>
      </c>
      <c r="X27" s="57">
        <v>187.5</v>
      </c>
      <c r="Y27" s="57">
        <v>131.875</v>
      </c>
      <c r="Z27" s="30"/>
      <c r="AD27" s="92"/>
      <c r="AE27" s="92"/>
      <c r="AF27" s="92"/>
      <c r="AG27" s="92"/>
      <c r="AH27" s="92"/>
    </row>
    <row r="28" ht="14.25" customHeight="1">
      <c r="A28" s="66" t="s">
        <v>126</v>
      </c>
      <c r="B28" s="67">
        <f t="shared" ref="B28:Y28" si="1">SUM(B3:B27)</f>
        <v>6572.5</v>
      </c>
      <c r="C28" s="67">
        <f t="shared" si="1"/>
        <v>6196.25</v>
      </c>
      <c r="D28" s="67">
        <f t="shared" si="1"/>
        <v>4612</v>
      </c>
      <c r="E28" s="67">
        <f t="shared" si="1"/>
        <v>3610</v>
      </c>
      <c r="F28" s="67">
        <f t="shared" si="1"/>
        <v>5433.5</v>
      </c>
      <c r="G28" s="67">
        <f t="shared" si="1"/>
        <v>5752</v>
      </c>
      <c r="H28" s="67">
        <f t="shared" si="1"/>
        <v>5707</v>
      </c>
      <c r="I28" s="67">
        <f t="shared" si="1"/>
        <v>4452.5</v>
      </c>
      <c r="J28" s="68">
        <f t="shared" si="1"/>
        <v>3950.925</v>
      </c>
      <c r="K28" s="68">
        <f t="shared" si="1"/>
        <v>3378.5</v>
      </c>
      <c r="L28" s="68">
        <f t="shared" si="1"/>
        <v>5220.75</v>
      </c>
      <c r="M28" s="68">
        <f t="shared" si="1"/>
        <v>4318.15</v>
      </c>
      <c r="N28" s="68">
        <f t="shared" si="1"/>
        <v>3470.5</v>
      </c>
      <c r="O28" s="68">
        <f t="shared" si="1"/>
        <v>5200</v>
      </c>
      <c r="P28" s="68">
        <f t="shared" si="1"/>
        <v>1986.9</v>
      </c>
      <c r="Q28" s="68">
        <f t="shared" si="1"/>
        <v>4625.725</v>
      </c>
      <c r="R28" s="68">
        <f t="shared" si="1"/>
        <v>2987.96</v>
      </c>
      <c r="S28" s="68">
        <f t="shared" si="1"/>
        <v>2670</v>
      </c>
      <c r="T28" s="68">
        <f t="shared" si="1"/>
        <v>4181.725</v>
      </c>
      <c r="U28" s="68">
        <f t="shared" si="1"/>
        <v>3338.43</v>
      </c>
      <c r="V28" s="68">
        <f t="shared" si="1"/>
        <v>2329</v>
      </c>
      <c r="W28" s="68">
        <f t="shared" si="1"/>
        <v>1934</v>
      </c>
      <c r="X28" s="68">
        <f t="shared" si="1"/>
        <v>3920.925</v>
      </c>
      <c r="Y28" s="68">
        <f t="shared" si="1"/>
        <v>2836.05</v>
      </c>
      <c r="Z28" s="69"/>
      <c r="AA28" s="69"/>
      <c r="AB28" s="69"/>
      <c r="AC28" s="69"/>
      <c r="AD28" s="121"/>
      <c r="AE28" s="121"/>
      <c r="AF28" s="121"/>
      <c r="AG28" s="121"/>
      <c r="AH28" s="121"/>
      <c r="AI28" s="69"/>
      <c r="AJ28" s="69"/>
    </row>
    <row r="29" ht="14.25" customHeight="1">
      <c r="A29" s="70" t="s">
        <v>127</v>
      </c>
      <c r="B29" s="71">
        <f t="shared" ref="B29:Y29" si="2">AVERAGE(B3:B27)</f>
        <v>262.9</v>
      </c>
      <c r="C29" s="71">
        <f t="shared" si="2"/>
        <v>247.85</v>
      </c>
      <c r="D29" s="71">
        <f t="shared" si="2"/>
        <v>184.48</v>
      </c>
      <c r="E29" s="71">
        <f t="shared" si="2"/>
        <v>144.4</v>
      </c>
      <c r="F29" s="71">
        <f t="shared" si="2"/>
        <v>217.34</v>
      </c>
      <c r="G29" s="71">
        <f t="shared" si="2"/>
        <v>230.08</v>
      </c>
      <c r="H29" s="71">
        <f t="shared" si="2"/>
        <v>228.28</v>
      </c>
      <c r="I29" s="71">
        <f t="shared" si="2"/>
        <v>178.1</v>
      </c>
      <c r="J29" s="72">
        <f t="shared" si="2"/>
        <v>158.037</v>
      </c>
      <c r="K29" s="72">
        <f t="shared" si="2"/>
        <v>135.14</v>
      </c>
      <c r="L29" s="72">
        <f t="shared" si="2"/>
        <v>208.83</v>
      </c>
      <c r="M29" s="72">
        <f t="shared" si="2"/>
        <v>172.726</v>
      </c>
      <c r="N29" s="72">
        <f t="shared" si="2"/>
        <v>138.82</v>
      </c>
      <c r="O29" s="72">
        <f t="shared" si="2"/>
        <v>208</v>
      </c>
      <c r="P29" s="72">
        <f t="shared" si="2"/>
        <v>79.476</v>
      </c>
      <c r="Q29" s="72">
        <f t="shared" si="2"/>
        <v>185.029</v>
      </c>
      <c r="R29" s="72">
        <f t="shared" si="2"/>
        <v>119.5184</v>
      </c>
      <c r="S29" s="72">
        <f t="shared" si="2"/>
        <v>106.8</v>
      </c>
      <c r="T29" s="72">
        <f t="shared" si="2"/>
        <v>167.269</v>
      </c>
      <c r="U29" s="72">
        <f t="shared" si="2"/>
        <v>133.5372</v>
      </c>
      <c r="V29" s="72">
        <f t="shared" si="2"/>
        <v>93.16</v>
      </c>
      <c r="W29" s="72">
        <f t="shared" si="2"/>
        <v>77.36</v>
      </c>
      <c r="X29" s="72">
        <f t="shared" si="2"/>
        <v>156.837</v>
      </c>
      <c r="Y29" s="72">
        <f t="shared" si="2"/>
        <v>113.442</v>
      </c>
      <c r="Z29" s="30"/>
      <c r="AD29" s="92"/>
      <c r="AE29" s="92"/>
      <c r="AF29" s="92"/>
      <c r="AG29" s="92"/>
      <c r="AH29" s="92"/>
    </row>
    <row r="30" ht="14.25" customHeight="1">
      <c r="A30" s="70" t="s">
        <v>128</v>
      </c>
      <c r="B30" s="73">
        <f>B11+B15+B12</f>
        <v>424.5</v>
      </c>
      <c r="C30" s="73">
        <f>C26+C8+C6</f>
        <v>317.6</v>
      </c>
      <c r="D30" s="73">
        <v>0.0</v>
      </c>
      <c r="E30" s="73">
        <f>E25+E19+E8</f>
        <v>305</v>
      </c>
      <c r="F30" s="73">
        <f>F15+F6+F5</f>
        <v>413</v>
      </c>
      <c r="G30" s="73">
        <f>G26+G7+G4</f>
        <v>442.5</v>
      </c>
      <c r="H30" s="73">
        <f>H27+H17+H7</f>
        <v>487.5</v>
      </c>
      <c r="I30" s="73">
        <f>I22+I8+I6</f>
        <v>308.5</v>
      </c>
      <c r="J30" s="72">
        <f>J9+J10+J11</f>
        <v>89</v>
      </c>
      <c r="K30" s="72">
        <v>0.0</v>
      </c>
      <c r="L30" s="72">
        <f>L15+L8+L4</f>
        <v>366</v>
      </c>
      <c r="M30" s="72">
        <f>M24+M11+M10</f>
        <v>209.375</v>
      </c>
      <c r="N30" s="72">
        <f>N24+N13+N9</f>
        <v>130.5</v>
      </c>
      <c r="O30" s="72">
        <f>O26+O25+O4</f>
        <v>434</v>
      </c>
      <c r="P30" s="72">
        <v>0.0</v>
      </c>
      <c r="Q30" s="72">
        <f>Q20+Q17+Q13</f>
        <v>314.75</v>
      </c>
      <c r="R30" s="72">
        <f>R24+R11</f>
        <v>89.2</v>
      </c>
      <c r="S30" s="122">
        <v>46.0</v>
      </c>
      <c r="T30" s="72">
        <v>0.0</v>
      </c>
      <c r="U30" s="72">
        <f>U24+U15+U12</f>
        <v>263.66</v>
      </c>
      <c r="V30" s="122">
        <v>49.0</v>
      </c>
      <c r="W30" s="72">
        <v>0.0</v>
      </c>
      <c r="X30" s="72">
        <f>X13+X15+X16</f>
        <v>231.25</v>
      </c>
      <c r="Y30" s="122">
        <v>31.0</v>
      </c>
      <c r="Z30" s="30"/>
      <c r="AD30" s="92"/>
      <c r="AE30" s="92"/>
      <c r="AF30" s="92"/>
      <c r="AG30" s="92"/>
      <c r="AH30" s="92"/>
    </row>
    <row r="31" ht="14.25" customHeight="1">
      <c r="A31" s="70" t="s">
        <v>129</v>
      </c>
      <c r="B31" s="74">
        <v>300.0</v>
      </c>
      <c r="C31" s="74">
        <v>300.0</v>
      </c>
      <c r="D31" s="73">
        <v>0.0</v>
      </c>
      <c r="E31" s="74">
        <v>300.0</v>
      </c>
      <c r="F31" s="74">
        <v>300.0</v>
      </c>
      <c r="G31" s="74">
        <v>300.0</v>
      </c>
      <c r="H31" s="74">
        <v>300.0</v>
      </c>
      <c r="I31" s="74">
        <v>300.0</v>
      </c>
      <c r="J31" s="72">
        <v>0.0</v>
      </c>
      <c r="K31" s="72">
        <v>0.0</v>
      </c>
      <c r="L31" s="122">
        <v>300.0</v>
      </c>
      <c r="M31" s="72">
        <v>0.0</v>
      </c>
      <c r="N31" s="72">
        <v>0.0</v>
      </c>
      <c r="O31" s="122">
        <v>300.0</v>
      </c>
      <c r="P31" s="72">
        <v>0.0</v>
      </c>
      <c r="Q31" s="122">
        <v>300.0</v>
      </c>
      <c r="R31" s="72">
        <v>0.0</v>
      </c>
      <c r="S31" s="72">
        <v>0.0</v>
      </c>
      <c r="T31" s="72">
        <v>0.0</v>
      </c>
      <c r="U31" s="72">
        <v>0.0</v>
      </c>
      <c r="V31" s="72">
        <v>0.0</v>
      </c>
      <c r="W31" s="72">
        <v>0.0</v>
      </c>
      <c r="X31" s="72">
        <v>0.0</v>
      </c>
      <c r="Y31" s="72">
        <v>0.0</v>
      </c>
      <c r="Z31" s="30"/>
      <c r="AD31" s="92"/>
      <c r="AE31" s="92"/>
      <c r="AF31" s="92"/>
      <c r="AG31" s="92"/>
      <c r="AH31" s="92"/>
    </row>
    <row r="32" ht="14.25" customHeight="1">
      <c r="A32" s="66" t="s">
        <v>130</v>
      </c>
      <c r="B32" s="75">
        <f t="shared" ref="B32:Y32" si="3">B28-B30+B31</f>
        <v>6448</v>
      </c>
      <c r="C32" s="75">
        <f t="shared" si="3"/>
        <v>6178.65</v>
      </c>
      <c r="D32" s="75">
        <f t="shared" si="3"/>
        <v>4612</v>
      </c>
      <c r="E32" s="75">
        <f t="shared" si="3"/>
        <v>3605</v>
      </c>
      <c r="F32" s="75">
        <f t="shared" si="3"/>
        <v>5320.5</v>
      </c>
      <c r="G32" s="75">
        <f t="shared" si="3"/>
        <v>5609.5</v>
      </c>
      <c r="H32" s="75">
        <f t="shared" si="3"/>
        <v>5519.5</v>
      </c>
      <c r="I32" s="75">
        <f t="shared" si="3"/>
        <v>4444</v>
      </c>
      <c r="J32" s="76">
        <f t="shared" si="3"/>
        <v>3861.925</v>
      </c>
      <c r="K32" s="76">
        <f t="shared" si="3"/>
        <v>3378.5</v>
      </c>
      <c r="L32" s="76">
        <f t="shared" si="3"/>
        <v>5154.75</v>
      </c>
      <c r="M32" s="76">
        <f t="shared" si="3"/>
        <v>4108.775</v>
      </c>
      <c r="N32" s="76">
        <f t="shared" si="3"/>
        <v>3340</v>
      </c>
      <c r="O32" s="76">
        <f t="shared" si="3"/>
        <v>5066</v>
      </c>
      <c r="P32" s="76">
        <f t="shared" si="3"/>
        <v>1986.9</v>
      </c>
      <c r="Q32" s="76">
        <f t="shared" si="3"/>
        <v>4610.975</v>
      </c>
      <c r="R32" s="76">
        <f t="shared" si="3"/>
        <v>2898.76</v>
      </c>
      <c r="S32" s="76">
        <f t="shared" si="3"/>
        <v>2624</v>
      </c>
      <c r="T32" s="76">
        <f t="shared" si="3"/>
        <v>4181.725</v>
      </c>
      <c r="U32" s="76">
        <f t="shared" si="3"/>
        <v>3074.77</v>
      </c>
      <c r="V32" s="76">
        <f t="shared" si="3"/>
        <v>2280</v>
      </c>
      <c r="W32" s="76">
        <f t="shared" si="3"/>
        <v>1934</v>
      </c>
      <c r="X32" s="76">
        <f t="shared" si="3"/>
        <v>3689.675</v>
      </c>
      <c r="Y32" s="76">
        <f t="shared" si="3"/>
        <v>2805.05</v>
      </c>
      <c r="Z32" s="69"/>
      <c r="AA32" s="69"/>
      <c r="AB32" s="69"/>
      <c r="AC32" s="69"/>
      <c r="AD32" s="121"/>
      <c r="AE32" s="121"/>
      <c r="AF32" s="121"/>
      <c r="AG32" s="121"/>
      <c r="AH32" s="121"/>
      <c r="AI32" s="69"/>
      <c r="AJ32" s="69"/>
    </row>
    <row r="33" ht="14.25" customHeight="1">
      <c r="A33" s="66" t="s">
        <v>131</v>
      </c>
      <c r="B33" s="67">
        <f>RANK(B32,B32:I32)</f>
        <v>1</v>
      </c>
      <c r="C33" s="67">
        <f>RANK(C32,B32:I32)</f>
        <v>2</v>
      </c>
      <c r="D33" s="67">
        <f>RANK(D32,B32:I32)</f>
        <v>6</v>
      </c>
      <c r="E33" s="67">
        <f>RANK(E32,B32:I32)</f>
        <v>8</v>
      </c>
      <c r="F33" s="67">
        <f>RANK(F32,B32:I32)</f>
        <v>5</v>
      </c>
      <c r="G33" s="67">
        <f>RANK(G32,B32:I32)</f>
        <v>3</v>
      </c>
      <c r="H33" s="67">
        <f>RANK(H32,B32:I32)</f>
        <v>4</v>
      </c>
      <c r="I33" s="67">
        <f>RANK(I32,B32:I32)</f>
        <v>7</v>
      </c>
      <c r="J33" s="68">
        <f>RANK(J32,J32:Y32)</f>
        <v>6</v>
      </c>
      <c r="K33" s="68">
        <f>RANK(K32,J32:Y32)</f>
        <v>8</v>
      </c>
      <c r="L33" s="68">
        <f>RANK(L32,J32:Y32)</f>
        <v>1</v>
      </c>
      <c r="M33" s="68">
        <f>RANK(M32,J32:Y32)</f>
        <v>5</v>
      </c>
      <c r="N33" s="68">
        <f>RANK(N32,J32:Y32)</f>
        <v>9</v>
      </c>
      <c r="O33" s="68">
        <f>RANK(O32,J32:Y32)</f>
        <v>2</v>
      </c>
      <c r="P33" s="68">
        <f>RANK(P32,J32:Y32)</f>
        <v>15</v>
      </c>
      <c r="Q33" s="68">
        <f>RANK(Q32,J32:Y32)</f>
        <v>3</v>
      </c>
      <c r="R33" s="68">
        <f>RANK(R32,J32:Y32)</f>
        <v>11</v>
      </c>
      <c r="S33" s="68">
        <f>RANK(S32,J32:Y32)</f>
        <v>13</v>
      </c>
      <c r="T33" s="68">
        <f>RANK(T32,J32:Y32)</f>
        <v>4</v>
      </c>
      <c r="U33" s="68">
        <f>RANK(U32,J32:Y32)</f>
        <v>10</v>
      </c>
      <c r="V33" s="68">
        <f>RANK(V32,J32:Y32)</f>
        <v>14</v>
      </c>
      <c r="W33" s="68">
        <f>RANK(W32,J32:Y32)</f>
        <v>16</v>
      </c>
      <c r="X33" s="68">
        <f>RANK(X32,J32:Y32)</f>
        <v>7</v>
      </c>
      <c r="Y33" s="68">
        <f>RANK(Y32,J32:Y32)</f>
        <v>12</v>
      </c>
      <c r="Z33" s="69"/>
      <c r="AA33" s="69"/>
      <c r="AB33" s="69"/>
      <c r="AC33" s="69"/>
      <c r="AD33" s="121"/>
      <c r="AE33" s="121"/>
      <c r="AF33" s="121"/>
      <c r="AG33" s="121"/>
      <c r="AH33" s="121"/>
      <c r="AI33" s="69"/>
      <c r="AJ33" s="69"/>
    </row>
    <row r="34" ht="14.25" customHeight="1">
      <c r="A34" s="70" t="s">
        <v>132</v>
      </c>
      <c r="B34" s="77">
        <v>0.0</v>
      </c>
      <c r="C34" s="77">
        <v>0.0</v>
      </c>
      <c r="D34" s="77">
        <v>0.0</v>
      </c>
      <c r="E34" s="123">
        <v>30.0</v>
      </c>
      <c r="F34" s="77">
        <v>0.0</v>
      </c>
      <c r="G34" s="77">
        <v>0.0</v>
      </c>
      <c r="H34" s="77">
        <v>0.0</v>
      </c>
      <c r="I34" s="123">
        <v>260.0</v>
      </c>
      <c r="J34" s="78">
        <v>80.0</v>
      </c>
      <c r="K34" s="78">
        <v>30.0</v>
      </c>
      <c r="L34" s="78">
        <v>0.0</v>
      </c>
      <c r="M34" s="78">
        <v>200.0</v>
      </c>
      <c r="N34" s="78">
        <v>160.0</v>
      </c>
      <c r="O34" s="78">
        <v>150.0</v>
      </c>
      <c r="P34" s="78">
        <v>1650.0</v>
      </c>
      <c r="Q34" s="124">
        <v>0.0</v>
      </c>
      <c r="R34" s="78">
        <v>750.0</v>
      </c>
      <c r="S34" s="78">
        <v>50.0</v>
      </c>
      <c r="T34" s="78">
        <v>0.0</v>
      </c>
      <c r="U34" s="78">
        <v>50.0</v>
      </c>
      <c r="V34" s="78">
        <v>1200.0</v>
      </c>
      <c r="W34" s="78">
        <v>1050.0</v>
      </c>
      <c r="X34" s="78">
        <v>150.0</v>
      </c>
      <c r="Y34" s="78">
        <v>100.0</v>
      </c>
      <c r="Z34" s="30"/>
      <c r="AA34" s="30"/>
      <c r="AD34" s="92"/>
      <c r="AE34" s="92"/>
      <c r="AF34" s="92"/>
      <c r="AG34" s="92"/>
      <c r="AH34" s="92"/>
    </row>
    <row r="35" ht="14.25" customHeight="1">
      <c r="A35" s="70" t="s">
        <v>133</v>
      </c>
      <c r="B35" s="77">
        <v>0.0</v>
      </c>
      <c r="C35" s="77">
        <v>0.0</v>
      </c>
      <c r="D35" s="123">
        <v>300.0</v>
      </c>
      <c r="E35" s="123">
        <v>500.0</v>
      </c>
      <c r="F35" s="123">
        <v>200.0</v>
      </c>
      <c r="G35" s="77">
        <v>0.0</v>
      </c>
      <c r="H35" s="123">
        <v>100.0</v>
      </c>
      <c r="I35" s="123">
        <v>400.0</v>
      </c>
      <c r="J35" s="78">
        <v>150.0</v>
      </c>
      <c r="K35" s="78">
        <v>250.0</v>
      </c>
      <c r="L35" s="124">
        <v>0.0</v>
      </c>
      <c r="M35" s="78">
        <v>100.0</v>
      </c>
      <c r="N35" s="78">
        <v>300.0</v>
      </c>
      <c r="O35" s="124">
        <v>0.0</v>
      </c>
      <c r="P35" s="78">
        <v>600.0</v>
      </c>
      <c r="Q35" s="124">
        <v>0.0</v>
      </c>
      <c r="R35" s="78">
        <v>400.0</v>
      </c>
      <c r="S35" s="78">
        <v>500.0</v>
      </c>
      <c r="T35" s="78">
        <v>50.0</v>
      </c>
      <c r="U35" s="78">
        <v>350.0</v>
      </c>
      <c r="V35" s="78">
        <v>550.0</v>
      </c>
      <c r="W35" s="78">
        <v>650.0</v>
      </c>
      <c r="X35" s="78">
        <v>200.0</v>
      </c>
      <c r="Y35" s="78">
        <v>450.0</v>
      </c>
      <c r="Z35" s="30"/>
      <c r="AA35" s="30"/>
      <c r="AB35" s="79"/>
      <c r="AC35" s="79"/>
      <c r="AD35" s="125"/>
      <c r="AE35" s="92"/>
      <c r="AF35" s="92"/>
      <c r="AG35" s="92"/>
      <c r="AH35" s="92"/>
    </row>
    <row r="36" ht="14.25" customHeight="1">
      <c r="A36" s="80" t="s">
        <v>134</v>
      </c>
      <c r="B36" s="81">
        <f t="shared" ref="B36:Y36" si="4">SUM(B34:B35)</f>
        <v>0</v>
      </c>
      <c r="C36" s="81">
        <f t="shared" si="4"/>
        <v>0</v>
      </c>
      <c r="D36" s="81">
        <f t="shared" si="4"/>
        <v>300</v>
      </c>
      <c r="E36" s="81">
        <f t="shared" si="4"/>
        <v>530</v>
      </c>
      <c r="F36" s="81">
        <f t="shared" si="4"/>
        <v>200</v>
      </c>
      <c r="G36" s="81">
        <f t="shared" si="4"/>
        <v>0</v>
      </c>
      <c r="H36" s="81">
        <f t="shared" si="4"/>
        <v>100</v>
      </c>
      <c r="I36" s="81">
        <f t="shared" si="4"/>
        <v>660</v>
      </c>
      <c r="J36" s="82">
        <f t="shared" si="4"/>
        <v>230</v>
      </c>
      <c r="K36" s="82">
        <f t="shared" si="4"/>
        <v>280</v>
      </c>
      <c r="L36" s="82">
        <f t="shared" si="4"/>
        <v>0</v>
      </c>
      <c r="M36" s="82">
        <f t="shared" si="4"/>
        <v>300</v>
      </c>
      <c r="N36" s="82">
        <f t="shared" si="4"/>
        <v>460</v>
      </c>
      <c r="O36" s="82">
        <f t="shared" si="4"/>
        <v>150</v>
      </c>
      <c r="P36" s="82">
        <f t="shared" si="4"/>
        <v>2250</v>
      </c>
      <c r="Q36" s="82">
        <f t="shared" si="4"/>
        <v>0</v>
      </c>
      <c r="R36" s="82">
        <f t="shared" si="4"/>
        <v>1150</v>
      </c>
      <c r="S36" s="82">
        <f t="shared" si="4"/>
        <v>550</v>
      </c>
      <c r="T36" s="82">
        <f t="shared" si="4"/>
        <v>50</v>
      </c>
      <c r="U36" s="82">
        <f t="shared" si="4"/>
        <v>400</v>
      </c>
      <c r="V36" s="82">
        <f t="shared" si="4"/>
        <v>1750</v>
      </c>
      <c r="W36" s="82">
        <f t="shared" si="4"/>
        <v>1700</v>
      </c>
      <c r="X36" s="82">
        <f t="shared" si="4"/>
        <v>350</v>
      </c>
      <c r="Y36" s="82">
        <f t="shared" si="4"/>
        <v>550</v>
      </c>
      <c r="Z36" s="83"/>
      <c r="AA36" s="83"/>
      <c r="AB36" s="80" t="s">
        <v>135</v>
      </c>
      <c r="AC36" s="84">
        <f>SUM(B36:Y36)</f>
        <v>11960</v>
      </c>
      <c r="AD36" s="126"/>
      <c r="AE36" s="126"/>
      <c r="AF36" s="126"/>
      <c r="AG36" s="126"/>
      <c r="AH36" s="126"/>
      <c r="AI36" s="83"/>
      <c r="AJ36" s="83"/>
    </row>
    <row r="37" ht="14.25" customHeight="1">
      <c r="A37" s="69"/>
      <c r="B37" s="30"/>
      <c r="C37" s="30"/>
      <c r="D37" s="57"/>
      <c r="E37" s="30"/>
      <c r="F37" s="57"/>
      <c r="G37" s="57"/>
      <c r="H37" s="57"/>
      <c r="I37" s="30"/>
      <c r="J37" s="30"/>
      <c r="K37" s="30"/>
      <c r="L37" s="30"/>
      <c r="M37" s="30"/>
      <c r="N37" s="30"/>
      <c r="O37" s="30"/>
      <c r="P37" s="30"/>
      <c r="Q37" s="57"/>
      <c r="R37" s="57"/>
      <c r="S37" s="57"/>
      <c r="T37" s="57"/>
      <c r="U37" s="57"/>
      <c r="V37" s="57"/>
      <c r="W37" s="57"/>
      <c r="X37" s="57"/>
      <c r="Y37" s="57"/>
      <c r="Z37" s="30"/>
      <c r="AA37" s="30"/>
      <c r="AB37" s="30"/>
      <c r="AC37" s="30"/>
      <c r="AD37" s="127"/>
      <c r="AE37" s="92"/>
      <c r="AF37" s="92"/>
      <c r="AG37" s="92"/>
      <c r="AH37" s="92"/>
    </row>
    <row r="38" ht="14.25" customHeight="1">
      <c r="D38" s="57"/>
      <c r="E38" s="30"/>
      <c r="F38" s="57"/>
      <c r="G38" s="57"/>
      <c r="H38" s="57"/>
      <c r="I38" s="30"/>
      <c r="N38" s="30"/>
      <c r="O38" s="30"/>
      <c r="P38" s="30"/>
      <c r="Q38" s="57"/>
      <c r="R38" s="57"/>
      <c r="S38" s="57"/>
      <c r="T38" s="57"/>
      <c r="U38" s="57"/>
      <c r="V38" s="57"/>
      <c r="W38" s="57"/>
      <c r="X38" s="57"/>
      <c r="Y38" s="57"/>
      <c r="Z38" s="30"/>
      <c r="AA38" s="30"/>
      <c r="AB38" s="30"/>
      <c r="AC38" s="30"/>
      <c r="AD38" s="92"/>
      <c r="AE38" s="92"/>
      <c r="AF38" s="92"/>
      <c r="AG38" s="92"/>
      <c r="AH38" s="92"/>
      <c r="AI38" s="30"/>
      <c r="AJ38" s="30"/>
    </row>
    <row r="39" ht="14.25" customHeight="1">
      <c r="D39" s="30"/>
      <c r="E39" s="30"/>
      <c r="F39" s="30"/>
      <c r="G39" s="30"/>
      <c r="H39" s="30"/>
      <c r="I39" s="30"/>
      <c r="N39" s="30"/>
      <c r="O39" s="69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92"/>
      <c r="AE39" s="92"/>
      <c r="AF39" s="92"/>
      <c r="AG39" s="92"/>
      <c r="AH39" s="92"/>
      <c r="AI39" s="30"/>
      <c r="AJ39" s="30"/>
    </row>
    <row r="40" ht="14.25" customHeight="1">
      <c r="D40" s="30"/>
      <c r="E40" s="30"/>
      <c r="F40" s="30"/>
      <c r="G40" s="30"/>
      <c r="H40" s="30"/>
      <c r="I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92"/>
      <c r="AE40" s="92"/>
      <c r="AF40" s="92"/>
      <c r="AG40" s="92"/>
      <c r="AH40" s="92"/>
      <c r="AI40" s="30"/>
      <c r="AJ40" s="30"/>
    </row>
    <row r="41" ht="14.25" customHeight="1">
      <c r="D41" s="30"/>
      <c r="E41" s="30"/>
      <c r="F41" s="30"/>
      <c r="G41" s="30"/>
      <c r="H41" s="30"/>
      <c r="I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92"/>
      <c r="AE41" s="92"/>
      <c r="AF41" s="92"/>
      <c r="AG41" s="92"/>
      <c r="AH41" s="92"/>
      <c r="AI41" s="30"/>
      <c r="AJ41" s="30"/>
    </row>
    <row r="42" ht="14.25" customHeight="1">
      <c r="D42" s="30"/>
      <c r="E42" s="30"/>
      <c r="F42" s="30"/>
      <c r="G42" s="30"/>
      <c r="H42" s="30"/>
      <c r="I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92"/>
      <c r="AE42" s="92"/>
      <c r="AF42" s="92"/>
      <c r="AG42" s="92"/>
      <c r="AH42" s="92"/>
      <c r="AI42" s="30"/>
      <c r="AJ42" s="30"/>
    </row>
    <row r="43" ht="14.25" customHeight="1">
      <c r="D43" s="30"/>
      <c r="E43" s="30"/>
      <c r="F43" s="30"/>
      <c r="G43" s="30"/>
      <c r="H43" s="30"/>
      <c r="I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92"/>
      <c r="AE43" s="92"/>
      <c r="AF43" s="92"/>
      <c r="AG43" s="92"/>
      <c r="AH43" s="92"/>
      <c r="AI43" s="30"/>
      <c r="AJ43" s="30"/>
    </row>
    <row r="44" ht="14.25" customHeight="1">
      <c r="D44" s="30"/>
      <c r="E44" s="30"/>
      <c r="F44" s="30"/>
      <c r="G44" s="30"/>
      <c r="H44" s="30"/>
      <c r="I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92"/>
      <c r="AE44" s="92"/>
      <c r="AF44" s="92"/>
      <c r="AG44" s="92"/>
      <c r="AH44" s="92"/>
      <c r="AI44" s="30"/>
      <c r="AJ44" s="30"/>
    </row>
    <row r="45" ht="14.25" customHeight="1">
      <c r="D45" s="30"/>
      <c r="E45" s="30"/>
      <c r="F45" s="30"/>
      <c r="G45" s="30"/>
      <c r="H45" s="30"/>
      <c r="I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92"/>
      <c r="AE45" s="92"/>
      <c r="AF45" s="92"/>
      <c r="AG45" s="92"/>
      <c r="AH45" s="92"/>
      <c r="AI45" s="30"/>
      <c r="AJ45" s="30"/>
    </row>
    <row r="46" ht="14.25" customHeight="1">
      <c r="D46" s="30"/>
      <c r="E46" s="30"/>
      <c r="F46" s="30"/>
      <c r="G46" s="30"/>
      <c r="H46" s="30"/>
      <c r="I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92"/>
      <c r="AE46" s="92"/>
      <c r="AF46" s="92"/>
      <c r="AG46" s="92"/>
      <c r="AH46" s="92"/>
      <c r="AI46" s="30"/>
      <c r="AJ46" s="30"/>
    </row>
    <row r="47" ht="14.25" customHeight="1">
      <c r="D47" s="30"/>
      <c r="E47" s="30"/>
      <c r="F47" s="30"/>
      <c r="G47" s="30"/>
      <c r="H47" s="30"/>
      <c r="I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92"/>
      <c r="AE47" s="92"/>
      <c r="AF47" s="92"/>
      <c r="AG47" s="92"/>
      <c r="AH47" s="92"/>
      <c r="AI47" s="30"/>
      <c r="AJ47" s="30"/>
    </row>
    <row r="48" ht="14.25" customHeight="1">
      <c r="D48" s="30"/>
      <c r="E48" s="30"/>
      <c r="F48" s="30"/>
      <c r="G48" s="30"/>
      <c r="H48" s="30"/>
      <c r="I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92"/>
      <c r="AE48" s="92"/>
      <c r="AF48" s="92"/>
      <c r="AG48" s="92"/>
      <c r="AH48" s="92"/>
      <c r="AI48" s="30"/>
      <c r="AJ48" s="30"/>
    </row>
    <row r="49" ht="14.25" customHeight="1">
      <c r="D49" s="30"/>
      <c r="E49" s="30"/>
      <c r="F49" s="30"/>
      <c r="G49" s="30"/>
      <c r="H49" s="30"/>
      <c r="I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92"/>
      <c r="AE49" s="92"/>
      <c r="AF49" s="92"/>
      <c r="AG49" s="92"/>
      <c r="AH49" s="92"/>
      <c r="AI49" s="30"/>
      <c r="AJ49" s="30"/>
    </row>
    <row r="50" ht="14.25" customHeight="1">
      <c r="D50" s="30"/>
      <c r="E50" s="30"/>
      <c r="F50" s="30"/>
      <c r="G50" s="30"/>
      <c r="H50" s="30"/>
      <c r="I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92"/>
      <c r="AE50" s="92"/>
      <c r="AF50" s="92"/>
      <c r="AG50" s="92"/>
      <c r="AH50" s="92"/>
      <c r="AI50" s="30"/>
      <c r="AJ50" s="30"/>
    </row>
    <row r="51" ht="14.25" customHeight="1">
      <c r="D51" s="30"/>
      <c r="E51" s="30"/>
      <c r="F51" s="30"/>
      <c r="G51" s="30"/>
      <c r="H51" s="30"/>
      <c r="I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92"/>
      <c r="AE51" s="92"/>
      <c r="AF51" s="92"/>
      <c r="AG51" s="92"/>
      <c r="AH51" s="92"/>
      <c r="AI51" s="30"/>
      <c r="AJ51" s="30"/>
    </row>
    <row r="52" ht="14.25" customHeight="1">
      <c r="B52" s="48"/>
      <c r="C52" s="48"/>
      <c r="D52" s="30"/>
      <c r="E52" s="30"/>
      <c r="F52" s="30"/>
      <c r="G52" s="30"/>
      <c r="H52" s="30"/>
      <c r="I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92"/>
      <c r="AE52" s="92"/>
      <c r="AF52" s="92"/>
      <c r="AG52" s="92"/>
      <c r="AH52" s="92"/>
      <c r="AI52" s="30"/>
      <c r="AJ52" s="30"/>
    </row>
    <row r="53" ht="14.25" customHeight="1">
      <c r="D53" s="30"/>
      <c r="E53" s="30"/>
      <c r="F53" s="30"/>
      <c r="G53" s="30"/>
      <c r="H53" s="30"/>
      <c r="I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92"/>
      <c r="AE53" s="92"/>
      <c r="AF53" s="92"/>
      <c r="AG53" s="92"/>
      <c r="AH53" s="92"/>
      <c r="AI53" s="30"/>
      <c r="AJ53" s="30"/>
    </row>
    <row r="54" ht="14.25" customHeight="1">
      <c r="C54" s="48"/>
      <c r="D54" s="30"/>
      <c r="E54" s="30"/>
      <c r="F54" s="30"/>
      <c r="G54" s="30"/>
      <c r="H54" s="30"/>
      <c r="I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92"/>
      <c r="AE54" s="92"/>
      <c r="AF54" s="92"/>
      <c r="AG54" s="92"/>
      <c r="AH54" s="92"/>
      <c r="AI54" s="30"/>
      <c r="AJ54" s="30"/>
    </row>
    <row r="55" ht="14.25" customHeight="1">
      <c r="D55" s="30"/>
      <c r="E55" s="30"/>
      <c r="F55" s="30"/>
      <c r="G55" s="30"/>
      <c r="H55" s="30"/>
      <c r="I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92"/>
      <c r="AE55" s="92"/>
      <c r="AF55" s="92"/>
      <c r="AG55" s="92"/>
      <c r="AH55" s="92"/>
      <c r="AI55" s="30"/>
      <c r="AJ55" s="30"/>
    </row>
    <row r="56" ht="14.25" customHeight="1">
      <c r="D56" s="30"/>
      <c r="E56" s="30"/>
      <c r="F56" s="30"/>
      <c r="G56" s="30"/>
      <c r="H56" s="30"/>
      <c r="I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92"/>
      <c r="AE56" s="92"/>
      <c r="AF56" s="92"/>
      <c r="AG56" s="92"/>
      <c r="AH56" s="92"/>
      <c r="AI56" s="30"/>
      <c r="AJ56" s="30"/>
    </row>
    <row r="57" ht="14.25" customHeight="1">
      <c r="D57" s="30"/>
      <c r="E57" s="30"/>
      <c r="F57" s="30"/>
      <c r="G57" s="30"/>
      <c r="H57" s="30"/>
      <c r="I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92"/>
      <c r="AE57" s="92"/>
      <c r="AF57" s="92"/>
      <c r="AG57" s="92"/>
      <c r="AH57" s="92"/>
      <c r="AI57" s="30"/>
      <c r="AJ57" s="30"/>
    </row>
    <row r="58" ht="14.25" customHeight="1">
      <c r="D58" s="30"/>
      <c r="E58" s="30"/>
      <c r="F58" s="30"/>
      <c r="G58" s="30"/>
      <c r="H58" s="30"/>
      <c r="I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92"/>
      <c r="AE58" s="92"/>
      <c r="AF58" s="92"/>
      <c r="AG58" s="92"/>
      <c r="AH58" s="92"/>
      <c r="AI58" s="30"/>
      <c r="AJ58" s="30"/>
    </row>
    <row r="59" ht="14.25" customHeight="1">
      <c r="D59" s="30"/>
      <c r="E59" s="30"/>
      <c r="F59" s="30"/>
      <c r="G59" s="30"/>
      <c r="H59" s="30"/>
      <c r="I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92"/>
      <c r="AE59" s="92"/>
      <c r="AF59" s="92"/>
      <c r="AG59" s="92"/>
      <c r="AH59" s="92"/>
      <c r="AI59" s="30"/>
      <c r="AJ59" s="30"/>
    </row>
    <row r="60" ht="14.25" customHeight="1">
      <c r="D60" s="30"/>
      <c r="E60" s="30"/>
      <c r="F60" s="30"/>
      <c r="G60" s="30"/>
      <c r="H60" s="30"/>
      <c r="I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92"/>
      <c r="AE60" s="92"/>
      <c r="AF60" s="92"/>
      <c r="AG60" s="92"/>
      <c r="AH60" s="92"/>
      <c r="AI60" s="30"/>
      <c r="AJ60" s="30"/>
    </row>
    <row r="61" ht="14.25" customHeight="1">
      <c r="D61" s="30"/>
      <c r="E61" s="30"/>
      <c r="F61" s="30"/>
      <c r="G61" s="30"/>
      <c r="H61" s="30"/>
      <c r="I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92"/>
      <c r="AE61" s="92"/>
      <c r="AF61" s="92"/>
      <c r="AG61" s="92"/>
      <c r="AH61" s="92"/>
      <c r="AI61" s="30"/>
      <c r="AJ61" s="30"/>
    </row>
    <row r="62" ht="14.25" customHeight="1">
      <c r="D62" s="30"/>
      <c r="E62" s="30"/>
      <c r="F62" s="30"/>
      <c r="G62" s="30"/>
      <c r="H62" s="30"/>
      <c r="I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92"/>
      <c r="AE62" s="92"/>
      <c r="AF62" s="92"/>
      <c r="AG62" s="92"/>
      <c r="AH62" s="92"/>
      <c r="AI62" s="30"/>
      <c r="AJ62" s="30"/>
    </row>
    <row r="63" ht="14.25" customHeight="1">
      <c r="A63" s="89"/>
      <c r="B63" s="89"/>
      <c r="C63" s="89"/>
      <c r="D63" s="30"/>
      <c r="E63" s="30"/>
      <c r="F63" s="30"/>
      <c r="G63" s="30"/>
      <c r="H63" s="30"/>
      <c r="I63" s="30"/>
      <c r="J63" s="30"/>
      <c r="K63" s="30"/>
      <c r="L63" s="30"/>
      <c r="M63" s="89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92"/>
      <c r="AE63" s="92"/>
      <c r="AF63" s="92"/>
      <c r="AG63" s="92"/>
      <c r="AH63" s="92"/>
      <c r="AI63" s="30"/>
      <c r="AJ63" s="30"/>
    </row>
    <row r="64" ht="14.2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92"/>
      <c r="AE64" s="92"/>
      <c r="AF64" s="92"/>
      <c r="AG64" s="92"/>
      <c r="AH64" s="92"/>
      <c r="AI64" s="30"/>
      <c r="AJ64" s="30"/>
    </row>
    <row r="65" ht="14.2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92"/>
      <c r="AE65" s="92"/>
      <c r="AF65" s="92"/>
      <c r="AG65" s="92"/>
      <c r="AH65" s="92"/>
      <c r="AI65" s="30"/>
      <c r="AJ65" s="30"/>
    </row>
    <row r="66" ht="14.2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92"/>
      <c r="AE66" s="92"/>
      <c r="AF66" s="92"/>
      <c r="AG66" s="92"/>
      <c r="AH66" s="92"/>
      <c r="AI66" s="30"/>
      <c r="AJ66" s="30"/>
    </row>
    <row r="67" ht="14.2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9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92"/>
      <c r="AE67" s="92"/>
      <c r="AF67" s="92"/>
      <c r="AG67" s="92"/>
      <c r="AH67" s="92"/>
    </row>
    <row r="68" ht="14.2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92"/>
      <c r="AE68" s="92"/>
      <c r="AF68" s="92"/>
      <c r="AG68" s="92"/>
      <c r="AH68" s="92"/>
    </row>
    <row r="69" ht="14.2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92"/>
      <c r="AE69" s="92"/>
      <c r="AF69" s="92"/>
      <c r="AG69" s="92"/>
      <c r="AH69" s="92"/>
    </row>
    <row r="70" ht="14.2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92"/>
      <c r="AE70" s="92"/>
      <c r="AF70" s="92"/>
      <c r="AG70" s="92"/>
      <c r="AH70" s="92"/>
    </row>
    <row r="71" ht="14.2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92"/>
      <c r="AE71" s="92"/>
      <c r="AF71" s="92"/>
      <c r="AG71" s="92"/>
      <c r="AH71" s="92"/>
    </row>
    <row r="72" ht="14.2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92"/>
      <c r="AE72" s="92"/>
      <c r="AF72" s="92"/>
      <c r="AG72" s="92"/>
      <c r="AH72" s="92"/>
    </row>
    <row r="73" ht="14.2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29"/>
      <c r="U73" s="30"/>
      <c r="V73" s="30"/>
      <c r="W73" s="30"/>
      <c r="X73" s="30"/>
      <c r="Y73" s="30"/>
      <c r="Z73" s="30"/>
      <c r="AA73" s="30"/>
      <c r="AB73" s="30"/>
      <c r="AC73" s="30"/>
      <c r="AD73" s="92"/>
      <c r="AE73" s="92"/>
      <c r="AF73" s="92"/>
      <c r="AG73" s="92"/>
      <c r="AH73" s="92"/>
    </row>
    <row r="74" ht="14.2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92"/>
      <c r="AE74" s="92"/>
      <c r="AF74" s="92"/>
      <c r="AG74" s="92"/>
      <c r="AH74" s="92"/>
    </row>
    <row r="75" ht="14.2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92"/>
      <c r="AE75" s="92"/>
      <c r="AF75" s="92"/>
      <c r="AG75" s="92"/>
      <c r="AH75" s="92"/>
    </row>
    <row r="76" ht="14.2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92"/>
      <c r="AE76" s="92"/>
      <c r="AF76" s="92"/>
      <c r="AG76" s="92"/>
      <c r="AH76" s="92"/>
    </row>
    <row r="77" ht="14.2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92"/>
      <c r="AE77" s="92"/>
      <c r="AF77" s="92"/>
      <c r="AG77" s="92"/>
      <c r="AH77" s="92"/>
    </row>
    <row r="78" ht="14.2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92"/>
      <c r="AE78" s="92"/>
      <c r="AF78" s="92"/>
      <c r="AG78" s="92"/>
      <c r="AH78" s="92"/>
    </row>
    <row r="79" ht="14.2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92"/>
      <c r="AE79" s="92"/>
      <c r="AF79" s="92"/>
      <c r="AG79" s="92"/>
      <c r="AH79" s="92"/>
    </row>
    <row r="80" ht="14.2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92"/>
      <c r="AE80" s="92"/>
      <c r="AF80" s="92"/>
      <c r="AG80" s="92"/>
      <c r="AH80" s="92"/>
    </row>
    <row r="81" ht="14.2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92"/>
      <c r="AE81" s="92"/>
      <c r="AF81" s="92"/>
      <c r="AG81" s="92"/>
      <c r="AH81" s="92"/>
    </row>
    <row r="82" ht="14.2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92"/>
      <c r="AE82" s="92"/>
      <c r="AF82" s="92"/>
      <c r="AG82" s="92"/>
      <c r="AH82" s="92"/>
    </row>
    <row r="83" ht="14.2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92"/>
      <c r="AE83" s="92"/>
      <c r="AF83" s="92"/>
      <c r="AG83" s="92"/>
      <c r="AH83" s="92"/>
    </row>
    <row r="84" ht="14.2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92"/>
      <c r="AE84" s="92"/>
      <c r="AF84" s="92"/>
      <c r="AG84" s="92"/>
      <c r="AH84" s="92"/>
    </row>
    <row r="85" ht="14.2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92"/>
      <c r="AE85" s="92"/>
      <c r="AF85" s="92"/>
      <c r="AG85" s="92"/>
      <c r="AH85" s="92"/>
    </row>
    <row r="86" ht="14.2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92"/>
      <c r="AE86" s="92"/>
      <c r="AF86" s="92"/>
      <c r="AG86" s="92"/>
      <c r="AH86" s="92"/>
    </row>
    <row r="87" ht="14.2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92"/>
      <c r="AE87" s="92"/>
      <c r="AF87" s="92"/>
      <c r="AG87" s="92"/>
      <c r="AH87" s="92"/>
    </row>
    <row r="88" ht="14.2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92"/>
      <c r="AE88" s="92"/>
      <c r="AF88" s="92"/>
      <c r="AG88" s="92"/>
      <c r="AH88" s="92"/>
    </row>
    <row r="89" ht="14.2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92"/>
      <c r="AE89" s="92"/>
      <c r="AF89" s="92"/>
      <c r="AG89" s="92"/>
      <c r="AH89" s="92"/>
    </row>
    <row r="90" ht="14.2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92"/>
      <c r="AE90" s="92"/>
      <c r="AF90" s="92"/>
      <c r="AG90" s="92"/>
      <c r="AH90" s="92"/>
    </row>
    <row r="91" ht="14.2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92"/>
      <c r="AE91" s="92"/>
      <c r="AF91" s="92"/>
      <c r="AG91" s="92"/>
      <c r="AH91" s="92"/>
    </row>
    <row r="92" ht="14.2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92"/>
      <c r="AE92" s="92"/>
      <c r="AF92" s="92"/>
      <c r="AG92" s="92"/>
      <c r="AH92" s="92"/>
    </row>
    <row r="93" ht="14.2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92"/>
      <c r="AE93" s="92"/>
      <c r="AF93" s="92"/>
      <c r="AG93" s="92"/>
      <c r="AH93" s="92"/>
    </row>
    <row r="94" ht="14.2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92"/>
      <c r="AE94" s="92"/>
      <c r="AF94" s="92"/>
      <c r="AG94" s="92"/>
      <c r="AH94" s="92"/>
    </row>
    <row r="95" ht="14.2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92"/>
      <c r="AE95" s="92"/>
      <c r="AF95" s="92"/>
      <c r="AG95" s="92"/>
      <c r="AH95" s="92"/>
    </row>
    <row r="96" ht="14.2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92"/>
      <c r="AE96" s="92"/>
      <c r="AF96" s="92"/>
      <c r="AG96" s="92"/>
      <c r="AH96" s="92"/>
    </row>
    <row r="97" ht="14.2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92"/>
      <c r="AE97" s="92"/>
      <c r="AF97" s="92"/>
      <c r="AG97" s="92"/>
      <c r="AH97" s="92"/>
    </row>
    <row r="98" ht="14.2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92"/>
      <c r="AE98" s="92"/>
      <c r="AF98" s="92"/>
      <c r="AG98" s="92"/>
      <c r="AH98" s="92"/>
    </row>
    <row r="99" ht="14.2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92"/>
      <c r="AE99" s="92"/>
      <c r="AF99" s="92"/>
      <c r="AG99" s="92"/>
      <c r="AH99" s="92"/>
    </row>
    <row r="100" ht="14.2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92"/>
      <c r="AE100" s="92"/>
      <c r="AF100" s="92"/>
      <c r="AG100" s="92"/>
      <c r="AH100" s="92"/>
    </row>
    <row r="101" ht="14.2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92"/>
      <c r="AE101" s="92"/>
      <c r="AF101" s="92"/>
      <c r="AG101" s="92"/>
      <c r="AH101" s="92"/>
    </row>
    <row r="102" ht="14.2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92"/>
      <c r="AE102" s="92"/>
      <c r="AF102" s="92"/>
      <c r="AG102" s="92"/>
      <c r="AH102" s="92"/>
    </row>
    <row r="103" ht="14.2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92"/>
      <c r="AE103" s="92"/>
      <c r="AF103" s="92"/>
      <c r="AG103" s="92"/>
      <c r="AH103" s="92"/>
    </row>
    <row r="104" ht="14.2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92"/>
      <c r="AE104" s="92"/>
      <c r="AF104" s="92"/>
      <c r="AG104" s="92"/>
      <c r="AH104" s="92"/>
    </row>
    <row r="105" ht="14.2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92"/>
      <c r="AE105" s="92"/>
      <c r="AF105" s="92"/>
      <c r="AG105" s="92"/>
      <c r="AH105" s="92"/>
    </row>
    <row r="106" ht="14.2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92"/>
      <c r="AE106" s="92"/>
      <c r="AF106" s="92"/>
      <c r="AG106" s="92"/>
      <c r="AH106" s="92"/>
    </row>
    <row r="107" ht="14.2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92"/>
      <c r="AE107" s="92"/>
      <c r="AF107" s="92"/>
      <c r="AG107" s="92"/>
      <c r="AH107" s="92"/>
    </row>
    <row r="108" ht="14.2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92"/>
      <c r="AE108" s="92"/>
      <c r="AF108" s="92"/>
      <c r="AG108" s="92"/>
      <c r="AH108" s="92"/>
    </row>
    <row r="109" ht="14.2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92"/>
      <c r="AE109" s="92"/>
      <c r="AF109" s="92"/>
      <c r="AG109" s="92"/>
      <c r="AH109" s="92"/>
    </row>
    <row r="110" ht="14.2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92"/>
      <c r="AE110" s="92"/>
      <c r="AF110" s="92"/>
      <c r="AG110" s="92"/>
      <c r="AH110" s="92"/>
    </row>
    <row r="111" ht="14.2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92"/>
      <c r="AE111" s="92"/>
      <c r="AF111" s="92"/>
      <c r="AG111" s="92"/>
      <c r="AH111" s="92"/>
    </row>
    <row r="112" ht="14.2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92"/>
      <c r="AE112" s="92"/>
      <c r="AF112" s="92"/>
      <c r="AG112" s="92"/>
      <c r="AH112" s="92"/>
    </row>
    <row r="113" ht="14.2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92"/>
      <c r="AE113" s="92"/>
      <c r="AF113" s="92"/>
      <c r="AG113" s="92"/>
      <c r="AH113" s="92"/>
    </row>
    <row r="114" ht="14.2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92"/>
      <c r="AE114" s="92"/>
      <c r="AF114" s="92"/>
      <c r="AG114" s="92"/>
      <c r="AH114" s="92"/>
    </row>
    <row r="115" ht="14.2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92"/>
      <c r="AE115" s="92"/>
      <c r="AF115" s="92"/>
      <c r="AG115" s="92"/>
      <c r="AH115" s="92"/>
    </row>
    <row r="116" ht="14.2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92"/>
      <c r="AE116" s="92"/>
      <c r="AF116" s="92"/>
      <c r="AG116" s="92"/>
      <c r="AH116" s="92"/>
    </row>
    <row r="117" ht="14.2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92"/>
      <c r="AE117" s="92"/>
      <c r="AF117" s="92"/>
      <c r="AG117" s="92"/>
      <c r="AH117" s="92"/>
    </row>
    <row r="118" ht="14.2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92"/>
      <c r="AE118" s="92"/>
      <c r="AF118" s="92"/>
      <c r="AG118" s="92"/>
      <c r="AH118" s="92"/>
    </row>
    <row r="119" ht="14.2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92"/>
      <c r="AE119" s="92"/>
      <c r="AF119" s="92"/>
      <c r="AG119" s="92"/>
      <c r="AH119" s="92"/>
    </row>
    <row r="120" ht="14.2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92"/>
      <c r="AE120" s="92"/>
      <c r="AF120" s="92"/>
      <c r="AG120" s="92"/>
      <c r="AH120" s="92"/>
    </row>
    <row r="121" ht="14.2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92"/>
      <c r="AE121" s="92"/>
      <c r="AF121" s="92"/>
      <c r="AG121" s="92"/>
      <c r="AH121" s="92"/>
    </row>
    <row r="122" ht="14.2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92"/>
      <c r="AE122" s="92"/>
      <c r="AF122" s="92"/>
      <c r="AG122" s="92"/>
      <c r="AH122" s="92"/>
    </row>
    <row r="123" ht="14.2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92"/>
      <c r="AE123" s="92"/>
      <c r="AF123" s="92"/>
      <c r="AG123" s="92"/>
      <c r="AH123" s="92"/>
    </row>
    <row r="124" ht="14.2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92"/>
      <c r="AE124" s="92"/>
      <c r="AF124" s="92"/>
      <c r="AG124" s="92"/>
      <c r="AH124" s="92"/>
    </row>
    <row r="125" ht="14.2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92"/>
      <c r="AE125" s="92"/>
      <c r="AF125" s="92"/>
      <c r="AG125" s="92"/>
      <c r="AH125" s="92"/>
    </row>
    <row r="126" ht="14.2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92"/>
      <c r="AE126" s="92"/>
      <c r="AF126" s="92"/>
      <c r="AG126" s="92"/>
      <c r="AH126" s="92"/>
    </row>
    <row r="127" ht="14.2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92"/>
      <c r="AE127" s="92"/>
      <c r="AF127" s="92"/>
      <c r="AG127" s="92"/>
      <c r="AH127" s="92"/>
    </row>
    <row r="128" ht="14.2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92"/>
      <c r="AE128" s="92"/>
      <c r="AF128" s="92"/>
      <c r="AG128" s="92"/>
      <c r="AH128" s="92"/>
    </row>
    <row r="129" ht="14.2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92"/>
      <c r="AE129" s="92"/>
      <c r="AF129" s="92"/>
      <c r="AG129" s="92"/>
      <c r="AH129" s="92"/>
    </row>
    <row r="130" ht="14.2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92"/>
      <c r="AE130" s="92"/>
      <c r="AF130" s="92"/>
      <c r="AG130" s="92"/>
      <c r="AH130" s="92"/>
    </row>
    <row r="131" ht="14.2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92"/>
      <c r="AE131" s="92"/>
      <c r="AF131" s="92"/>
      <c r="AG131" s="92"/>
      <c r="AH131" s="92"/>
    </row>
    <row r="132" ht="14.2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92"/>
      <c r="AE132" s="92"/>
      <c r="AF132" s="92"/>
      <c r="AG132" s="92"/>
      <c r="AH132" s="92"/>
    </row>
    <row r="133" ht="14.2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92"/>
      <c r="AE133" s="92"/>
      <c r="AF133" s="92"/>
      <c r="AG133" s="92"/>
      <c r="AH133" s="92"/>
    </row>
    <row r="134" ht="14.2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92"/>
      <c r="AE134" s="92"/>
      <c r="AF134" s="92"/>
      <c r="AG134" s="92"/>
      <c r="AH134" s="92"/>
    </row>
    <row r="135" ht="14.2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92"/>
      <c r="AE135" s="92"/>
      <c r="AF135" s="92"/>
      <c r="AG135" s="92"/>
      <c r="AH135" s="92"/>
    </row>
    <row r="136" ht="14.2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92"/>
      <c r="AE136" s="92"/>
      <c r="AF136" s="92"/>
      <c r="AG136" s="92"/>
      <c r="AH136" s="92"/>
    </row>
    <row r="137" ht="14.2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92"/>
      <c r="AE137" s="92"/>
      <c r="AF137" s="92"/>
      <c r="AG137" s="92"/>
      <c r="AH137" s="92"/>
    </row>
    <row r="138" ht="14.2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92"/>
      <c r="AE138" s="92"/>
      <c r="AF138" s="92"/>
      <c r="AG138" s="92"/>
      <c r="AH138" s="92"/>
    </row>
    <row r="139" ht="14.2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92"/>
      <c r="AE139" s="92"/>
      <c r="AF139" s="92"/>
      <c r="AG139" s="92"/>
      <c r="AH139" s="92"/>
    </row>
    <row r="140" ht="14.2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92"/>
      <c r="AE140" s="92"/>
      <c r="AF140" s="92"/>
      <c r="AG140" s="92"/>
      <c r="AH140" s="92"/>
    </row>
    <row r="141" ht="14.2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92"/>
      <c r="AE141" s="92"/>
      <c r="AF141" s="92"/>
      <c r="AG141" s="92"/>
      <c r="AH141" s="92"/>
    </row>
    <row r="142" ht="14.2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92"/>
      <c r="AE142" s="92"/>
      <c r="AF142" s="92"/>
      <c r="AG142" s="92"/>
      <c r="AH142" s="92"/>
    </row>
    <row r="143" ht="14.2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92"/>
      <c r="AE143" s="92"/>
      <c r="AF143" s="92"/>
      <c r="AG143" s="92"/>
      <c r="AH143" s="92"/>
    </row>
    <row r="144" ht="14.2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92"/>
      <c r="AE144" s="92"/>
      <c r="AF144" s="92"/>
      <c r="AG144" s="92"/>
      <c r="AH144" s="92"/>
    </row>
    <row r="145" ht="14.2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92"/>
      <c r="AE145" s="92"/>
      <c r="AF145" s="92"/>
      <c r="AG145" s="92"/>
      <c r="AH145" s="92"/>
    </row>
    <row r="146" ht="14.2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92"/>
      <c r="AE146" s="92"/>
      <c r="AF146" s="92"/>
      <c r="AG146" s="92"/>
      <c r="AH146" s="92"/>
    </row>
    <row r="147" ht="14.2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92"/>
      <c r="AE147" s="92"/>
      <c r="AF147" s="92"/>
      <c r="AG147" s="92"/>
      <c r="AH147" s="92"/>
    </row>
    <row r="148" ht="14.2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92"/>
      <c r="AE148" s="92"/>
      <c r="AF148" s="92"/>
      <c r="AG148" s="92"/>
      <c r="AH148" s="92"/>
    </row>
    <row r="149" ht="14.2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92"/>
      <c r="AE149" s="92"/>
      <c r="AF149" s="92"/>
      <c r="AG149" s="92"/>
      <c r="AH149" s="92"/>
    </row>
    <row r="150" ht="14.2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92"/>
      <c r="AE150" s="92"/>
      <c r="AF150" s="92"/>
      <c r="AG150" s="92"/>
      <c r="AH150" s="92"/>
    </row>
    <row r="151" ht="14.2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92"/>
      <c r="AE151" s="92"/>
      <c r="AF151" s="92"/>
      <c r="AG151" s="92"/>
      <c r="AH151" s="92"/>
    </row>
    <row r="152" ht="14.2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92"/>
      <c r="AE152" s="92"/>
      <c r="AF152" s="92"/>
      <c r="AG152" s="92"/>
      <c r="AH152" s="92"/>
    </row>
    <row r="153" ht="14.2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92"/>
      <c r="AE153" s="92"/>
      <c r="AF153" s="92"/>
      <c r="AG153" s="92"/>
      <c r="AH153" s="92"/>
    </row>
    <row r="154" ht="14.2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92"/>
      <c r="AE154" s="92"/>
      <c r="AF154" s="92"/>
      <c r="AG154" s="92"/>
      <c r="AH154" s="92"/>
    </row>
    <row r="155" ht="14.2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92"/>
      <c r="AE155" s="92"/>
      <c r="AF155" s="92"/>
      <c r="AG155" s="92"/>
      <c r="AH155" s="92"/>
    </row>
    <row r="156" ht="14.2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92"/>
      <c r="AE156" s="92"/>
      <c r="AF156" s="92"/>
      <c r="AG156" s="92"/>
      <c r="AH156" s="92"/>
    </row>
    <row r="157" ht="14.2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92"/>
      <c r="AE157" s="92"/>
      <c r="AF157" s="92"/>
      <c r="AG157" s="92"/>
      <c r="AH157" s="92"/>
    </row>
    <row r="158" ht="14.2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92"/>
      <c r="AE158" s="92"/>
      <c r="AF158" s="92"/>
      <c r="AG158" s="92"/>
      <c r="AH158" s="92"/>
    </row>
    <row r="159" ht="14.2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92"/>
      <c r="AE159" s="92"/>
      <c r="AF159" s="92"/>
      <c r="AG159" s="92"/>
      <c r="AH159" s="92"/>
    </row>
    <row r="160" ht="14.2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92"/>
      <c r="AE160" s="92"/>
      <c r="AF160" s="92"/>
      <c r="AG160" s="92"/>
      <c r="AH160" s="92"/>
    </row>
    <row r="161" ht="14.2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92"/>
      <c r="AE161" s="92"/>
      <c r="AF161" s="92"/>
      <c r="AG161" s="92"/>
      <c r="AH161" s="92"/>
    </row>
    <row r="162" ht="14.2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92"/>
      <c r="AE162" s="92"/>
      <c r="AF162" s="92"/>
      <c r="AG162" s="92"/>
      <c r="AH162" s="92"/>
    </row>
    <row r="163" ht="14.2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92"/>
      <c r="AE163" s="92"/>
      <c r="AF163" s="92"/>
      <c r="AG163" s="92"/>
      <c r="AH163" s="92"/>
    </row>
    <row r="164" ht="14.2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92"/>
      <c r="AE164" s="92"/>
      <c r="AF164" s="92"/>
      <c r="AG164" s="92"/>
      <c r="AH164" s="92"/>
    </row>
    <row r="165" ht="14.2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92"/>
      <c r="AE165" s="92"/>
      <c r="AF165" s="92"/>
      <c r="AG165" s="92"/>
      <c r="AH165" s="92"/>
    </row>
    <row r="166" ht="14.2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92"/>
      <c r="AE166" s="92"/>
      <c r="AF166" s="92"/>
      <c r="AG166" s="92"/>
      <c r="AH166" s="92"/>
    </row>
    <row r="167" ht="14.2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92"/>
      <c r="AE167" s="92"/>
      <c r="AF167" s="92"/>
      <c r="AG167" s="92"/>
      <c r="AH167" s="92"/>
    </row>
    <row r="168" ht="14.2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92"/>
      <c r="AE168" s="92"/>
      <c r="AF168" s="92"/>
      <c r="AG168" s="92"/>
      <c r="AH168" s="92"/>
    </row>
    <row r="169" ht="14.2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92"/>
      <c r="AE169" s="92"/>
      <c r="AF169" s="92"/>
      <c r="AG169" s="92"/>
      <c r="AH169" s="92"/>
    </row>
    <row r="170" ht="14.2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92"/>
      <c r="AE170" s="92"/>
      <c r="AF170" s="92"/>
      <c r="AG170" s="92"/>
      <c r="AH170" s="92"/>
    </row>
    <row r="171" ht="14.2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92"/>
      <c r="AE171" s="92"/>
      <c r="AF171" s="92"/>
      <c r="AG171" s="92"/>
      <c r="AH171" s="92"/>
    </row>
    <row r="172" ht="14.2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92"/>
      <c r="AE172" s="92"/>
      <c r="AF172" s="92"/>
      <c r="AG172" s="92"/>
      <c r="AH172" s="92"/>
    </row>
    <row r="173" ht="14.2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92"/>
      <c r="AE173" s="92"/>
      <c r="AF173" s="92"/>
      <c r="AG173" s="92"/>
      <c r="AH173" s="92"/>
    </row>
    <row r="174" ht="14.2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92"/>
      <c r="AE174" s="92"/>
      <c r="AF174" s="92"/>
      <c r="AG174" s="92"/>
      <c r="AH174" s="92"/>
    </row>
    <row r="175" ht="14.2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92"/>
      <c r="AE175" s="92"/>
      <c r="AF175" s="92"/>
      <c r="AG175" s="92"/>
      <c r="AH175" s="92"/>
    </row>
    <row r="176" ht="14.2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92"/>
      <c r="AE176" s="92"/>
      <c r="AF176" s="92"/>
      <c r="AG176" s="92"/>
      <c r="AH176" s="92"/>
    </row>
    <row r="177" ht="14.2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92"/>
      <c r="AE177" s="92"/>
      <c r="AF177" s="92"/>
      <c r="AG177" s="92"/>
      <c r="AH177" s="92"/>
    </row>
    <row r="178" ht="14.2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92"/>
      <c r="AE178" s="92"/>
      <c r="AF178" s="92"/>
      <c r="AG178" s="92"/>
      <c r="AH178" s="92"/>
    </row>
    <row r="179" ht="14.2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92"/>
      <c r="AE179" s="92"/>
      <c r="AF179" s="92"/>
      <c r="AG179" s="92"/>
      <c r="AH179" s="92"/>
    </row>
    <row r="180" ht="14.2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92"/>
      <c r="AE180" s="92"/>
      <c r="AF180" s="92"/>
      <c r="AG180" s="92"/>
      <c r="AH180" s="92"/>
    </row>
    <row r="181" ht="14.2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92"/>
      <c r="AE181" s="92"/>
      <c r="AF181" s="92"/>
      <c r="AG181" s="92"/>
      <c r="AH181" s="92"/>
    </row>
    <row r="182" ht="14.2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92"/>
      <c r="AE182" s="92"/>
      <c r="AF182" s="92"/>
      <c r="AG182" s="92"/>
      <c r="AH182" s="92"/>
    </row>
    <row r="183" ht="14.2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92"/>
      <c r="AE183" s="92"/>
      <c r="AF183" s="92"/>
      <c r="AG183" s="92"/>
      <c r="AH183" s="92"/>
    </row>
    <row r="184" ht="14.2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92"/>
      <c r="AE184" s="92"/>
      <c r="AF184" s="92"/>
      <c r="AG184" s="92"/>
      <c r="AH184" s="92"/>
    </row>
    <row r="185" ht="14.2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92"/>
      <c r="AE185" s="92"/>
      <c r="AF185" s="92"/>
      <c r="AG185" s="92"/>
      <c r="AH185" s="92"/>
    </row>
    <row r="186" ht="14.2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92"/>
      <c r="AE186" s="92"/>
      <c r="AF186" s="92"/>
      <c r="AG186" s="92"/>
      <c r="AH186" s="92"/>
    </row>
    <row r="187" ht="14.2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92"/>
      <c r="AE187" s="92"/>
      <c r="AF187" s="92"/>
      <c r="AG187" s="92"/>
      <c r="AH187" s="92"/>
    </row>
    <row r="188" ht="14.2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92"/>
      <c r="AE188" s="92"/>
      <c r="AF188" s="92"/>
      <c r="AG188" s="92"/>
      <c r="AH188" s="92"/>
    </row>
    <row r="189" ht="14.2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92"/>
      <c r="AE189" s="92"/>
      <c r="AF189" s="92"/>
      <c r="AG189" s="92"/>
      <c r="AH189" s="92"/>
    </row>
    <row r="190" ht="14.2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92"/>
      <c r="AE190" s="92"/>
      <c r="AF190" s="92"/>
      <c r="AG190" s="92"/>
      <c r="AH190" s="92"/>
    </row>
    <row r="191" ht="14.2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92"/>
      <c r="AE191" s="92"/>
      <c r="AF191" s="92"/>
      <c r="AG191" s="92"/>
      <c r="AH191" s="92"/>
    </row>
    <row r="192" ht="14.2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92"/>
      <c r="AE192" s="92"/>
      <c r="AF192" s="92"/>
      <c r="AG192" s="92"/>
      <c r="AH192" s="92"/>
    </row>
    <row r="193" ht="14.2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92"/>
      <c r="AE193" s="92"/>
      <c r="AF193" s="92"/>
      <c r="AG193" s="92"/>
      <c r="AH193" s="92"/>
    </row>
    <row r="194" ht="14.2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92"/>
      <c r="AE194" s="92"/>
      <c r="AF194" s="92"/>
      <c r="AG194" s="92"/>
      <c r="AH194" s="92"/>
    </row>
    <row r="195" ht="14.2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92"/>
      <c r="AE195" s="92"/>
      <c r="AF195" s="92"/>
      <c r="AG195" s="92"/>
      <c r="AH195" s="92"/>
    </row>
    <row r="196" ht="14.2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92"/>
      <c r="AE196" s="92"/>
      <c r="AF196" s="92"/>
      <c r="AG196" s="92"/>
      <c r="AH196" s="92"/>
    </row>
    <row r="197" ht="14.2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92"/>
      <c r="AE197" s="92"/>
      <c r="AF197" s="92"/>
      <c r="AG197" s="92"/>
      <c r="AH197" s="92"/>
    </row>
    <row r="198" ht="14.2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92"/>
      <c r="AE198" s="92"/>
      <c r="AF198" s="92"/>
      <c r="AG198" s="92"/>
      <c r="AH198" s="92"/>
    </row>
    <row r="199" ht="14.2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92"/>
      <c r="AE199" s="92"/>
      <c r="AF199" s="92"/>
      <c r="AG199" s="92"/>
      <c r="AH199" s="92"/>
    </row>
    <row r="200" ht="14.2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92"/>
      <c r="AE200" s="92"/>
      <c r="AF200" s="92"/>
      <c r="AG200" s="92"/>
      <c r="AH200" s="92"/>
    </row>
    <row r="201" ht="14.2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92"/>
      <c r="AE201" s="92"/>
      <c r="AF201" s="92"/>
      <c r="AG201" s="92"/>
      <c r="AH201" s="92"/>
    </row>
    <row r="202" ht="14.2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92"/>
      <c r="AE202" s="92"/>
      <c r="AF202" s="92"/>
      <c r="AG202" s="92"/>
      <c r="AH202" s="92"/>
    </row>
    <row r="203" ht="14.2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92"/>
      <c r="AE203" s="92"/>
      <c r="AF203" s="92"/>
      <c r="AG203" s="92"/>
      <c r="AH203" s="92"/>
    </row>
    <row r="204" ht="14.2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92"/>
      <c r="AE204" s="92"/>
      <c r="AF204" s="92"/>
      <c r="AG204" s="92"/>
      <c r="AH204" s="92"/>
    </row>
    <row r="205" ht="14.2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92"/>
      <c r="AE205" s="92"/>
      <c r="AF205" s="92"/>
      <c r="AG205" s="92"/>
      <c r="AH205" s="92"/>
    </row>
    <row r="206" ht="14.2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92"/>
      <c r="AE206" s="92"/>
      <c r="AF206" s="92"/>
      <c r="AG206" s="92"/>
      <c r="AH206" s="92"/>
    </row>
    <row r="207" ht="14.2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92"/>
      <c r="AE207" s="92"/>
      <c r="AF207" s="92"/>
      <c r="AG207" s="92"/>
      <c r="AH207" s="92"/>
    </row>
    <row r="208" ht="14.2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92"/>
      <c r="AE208" s="92"/>
      <c r="AF208" s="92"/>
      <c r="AG208" s="92"/>
      <c r="AH208" s="92"/>
    </row>
    <row r="209" ht="14.2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92"/>
      <c r="AE209" s="92"/>
      <c r="AF209" s="92"/>
      <c r="AG209" s="92"/>
      <c r="AH209" s="92"/>
    </row>
    <row r="210" ht="14.2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92"/>
      <c r="AE210" s="92"/>
      <c r="AF210" s="92"/>
      <c r="AG210" s="92"/>
      <c r="AH210" s="92"/>
    </row>
    <row r="211" ht="14.2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92"/>
      <c r="AE211" s="92"/>
      <c r="AF211" s="92"/>
      <c r="AG211" s="92"/>
      <c r="AH211" s="92"/>
    </row>
    <row r="212" ht="14.2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92"/>
      <c r="AE212" s="92"/>
      <c r="AF212" s="92"/>
      <c r="AG212" s="92"/>
      <c r="AH212" s="92"/>
    </row>
    <row r="213" ht="14.2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92"/>
      <c r="AE213" s="92"/>
      <c r="AF213" s="92"/>
      <c r="AG213" s="92"/>
      <c r="AH213" s="92"/>
    </row>
    <row r="214" ht="14.2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92"/>
      <c r="AE214" s="92"/>
      <c r="AF214" s="92"/>
      <c r="AG214" s="92"/>
      <c r="AH214" s="92"/>
    </row>
    <row r="215" ht="14.2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92"/>
      <c r="AE215" s="92"/>
      <c r="AF215" s="92"/>
      <c r="AG215" s="92"/>
      <c r="AH215" s="92"/>
    </row>
    <row r="216" ht="14.2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92"/>
      <c r="AE216" s="92"/>
      <c r="AF216" s="92"/>
      <c r="AG216" s="92"/>
      <c r="AH216" s="92"/>
    </row>
    <row r="217" ht="14.2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92"/>
      <c r="AE217" s="92"/>
      <c r="AF217" s="92"/>
      <c r="AG217" s="92"/>
      <c r="AH217" s="92"/>
    </row>
    <row r="218" ht="14.2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92"/>
      <c r="AE218" s="92"/>
      <c r="AF218" s="92"/>
      <c r="AG218" s="92"/>
      <c r="AH218" s="92"/>
    </row>
    <row r="219" ht="14.2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92"/>
      <c r="AE219" s="92"/>
      <c r="AF219" s="92"/>
      <c r="AG219" s="92"/>
      <c r="AH219" s="92"/>
    </row>
    <row r="220" ht="14.2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92"/>
      <c r="AE220" s="92"/>
      <c r="AF220" s="92"/>
      <c r="AG220" s="92"/>
      <c r="AH220" s="92"/>
    </row>
    <row r="221" ht="14.2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92"/>
      <c r="AE221" s="92"/>
      <c r="AF221" s="92"/>
      <c r="AG221" s="92"/>
      <c r="AH221" s="92"/>
    </row>
    <row r="222" ht="14.2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92"/>
      <c r="AE222" s="92"/>
      <c r="AF222" s="92"/>
      <c r="AG222" s="92"/>
      <c r="AH222" s="92"/>
    </row>
    <row r="223" ht="14.2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92"/>
      <c r="AE223" s="92"/>
      <c r="AF223" s="92"/>
      <c r="AG223" s="92"/>
      <c r="AH223" s="92"/>
    </row>
    <row r="224" ht="14.2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92"/>
      <c r="AE224" s="92"/>
      <c r="AF224" s="92"/>
      <c r="AG224" s="92"/>
      <c r="AH224" s="92"/>
    </row>
    <row r="225" ht="14.2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92"/>
      <c r="AE225" s="92"/>
      <c r="AF225" s="92"/>
      <c r="AG225" s="92"/>
      <c r="AH225" s="92"/>
    </row>
    <row r="226" ht="14.2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92"/>
      <c r="AE226" s="92"/>
      <c r="AF226" s="92"/>
      <c r="AG226" s="92"/>
      <c r="AH226" s="92"/>
    </row>
    <row r="227" ht="14.2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92"/>
      <c r="AE227" s="92"/>
      <c r="AF227" s="92"/>
      <c r="AG227" s="92"/>
      <c r="AH227" s="92"/>
    </row>
    <row r="228" ht="14.2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92"/>
      <c r="AE228" s="92"/>
      <c r="AF228" s="92"/>
      <c r="AG228" s="92"/>
      <c r="AH228" s="92"/>
    </row>
    <row r="229" ht="14.2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92"/>
      <c r="AE229" s="92"/>
      <c r="AF229" s="92"/>
      <c r="AG229" s="92"/>
      <c r="AH229" s="92"/>
    </row>
    <row r="230" ht="14.2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92"/>
      <c r="AE230" s="92"/>
      <c r="AF230" s="92"/>
      <c r="AG230" s="92"/>
      <c r="AH230" s="92"/>
    </row>
    <row r="231" ht="14.2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92"/>
      <c r="AE231" s="92"/>
      <c r="AF231" s="92"/>
      <c r="AG231" s="92"/>
      <c r="AH231" s="92"/>
    </row>
    <row r="232" ht="14.2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92"/>
      <c r="AE232" s="92"/>
      <c r="AF232" s="92"/>
      <c r="AG232" s="92"/>
      <c r="AH232" s="92"/>
    </row>
    <row r="233" ht="14.2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92"/>
      <c r="AE233" s="92"/>
      <c r="AF233" s="92"/>
      <c r="AG233" s="92"/>
      <c r="AH233" s="92"/>
    </row>
    <row r="234" ht="14.2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92"/>
      <c r="AE234" s="92"/>
      <c r="AF234" s="92"/>
      <c r="AG234" s="92"/>
      <c r="AH234" s="92"/>
    </row>
    <row r="235" ht="15.75" customHeight="1">
      <c r="AD235" s="92"/>
      <c r="AE235" s="92"/>
      <c r="AF235" s="92"/>
      <c r="AG235" s="92"/>
      <c r="AH235" s="92"/>
    </row>
    <row r="236" ht="15.75" customHeight="1">
      <c r="AD236" s="92"/>
      <c r="AE236" s="92"/>
      <c r="AF236" s="92"/>
      <c r="AG236" s="92"/>
      <c r="AH236" s="92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I1"/>
    <mergeCell ref="J1:Y1"/>
  </mergeCells>
  <printOptions/>
  <pageMargins bottom="0.787401575" footer="0.0" header="0.0" left="0.7" right="0.7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4" width="8.25"/>
    <col customWidth="1" min="25" max="25" width="2.75"/>
    <col customWidth="1" min="26" max="26" width="2.63"/>
    <col customWidth="1" min="27" max="27" width="19.13"/>
    <col customWidth="1" min="28" max="28" width="8.63"/>
    <col customWidth="1" min="29" max="29" width="10.25"/>
    <col customWidth="1" min="30" max="30" width="9.0"/>
    <col customWidth="1" min="31" max="31" width="19.38"/>
    <col customWidth="1" min="32" max="32" width="17.38"/>
    <col customWidth="1" min="33" max="33" width="8.25"/>
    <col customWidth="1" min="34" max="35" width="14.38"/>
  </cols>
  <sheetData>
    <row r="1" ht="15.0" customHeight="1">
      <c r="B1" s="128" t="s">
        <v>32</v>
      </c>
      <c r="C1" s="19"/>
      <c r="D1" s="19"/>
      <c r="E1" s="19"/>
      <c r="F1" s="19"/>
      <c r="G1" s="19"/>
      <c r="H1" s="19"/>
      <c r="I1" s="19"/>
      <c r="J1" s="129" t="s">
        <v>33</v>
      </c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AC1" s="91" t="s">
        <v>138</v>
      </c>
      <c r="AD1" s="92"/>
      <c r="AE1" s="92"/>
      <c r="AF1" s="92"/>
      <c r="AG1" s="92"/>
    </row>
    <row r="2" ht="14.25" customHeight="1">
      <c r="A2" s="51" t="s">
        <v>118</v>
      </c>
      <c r="B2" s="130" t="s">
        <v>2</v>
      </c>
      <c r="C2" s="130" t="s">
        <v>167</v>
      </c>
      <c r="D2" s="130" t="s">
        <v>3</v>
      </c>
      <c r="E2" s="130" t="s">
        <v>4</v>
      </c>
      <c r="F2" s="130" t="s">
        <v>1</v>
      </c>
      <c r="G2" s="130" t="s">
        <v>22</v>
      </c>
      <c r="H2" s="130" t="s">
        <v>9</v>
      </c>
      <c r="I2" s="130" t="s">
        <v>8</v>
      </c>
      <c r="J2" s="130" t="s">
        <v>11</v>
      </c>
      <c r="K2" s="130" t="s">
        <v>21</v>
      </c>
      <c r="L2" s="130" t="s">
        <v>12</v>
      </c>
      <c r="M2" s="130" t="s">
        <v>20</v>
      </c>
      <c r="N2" s="130" t="s">
        <v>17</v>
      </c>
      <c r="O2" s="130" t="s">
        <v>14</v>
      </c>
      <c r="P2" s="130" t="s">
        <v>7</v>
      </c>
      <c r="Q2" s="130" t="s">
        <v>16</v>
      </c>
      <c r="R2" s="130" t="s">
        <v>15</v>
      </c>
      <c r="S2" s="130" t="s">
        <v>10</v>
      </c>
      <c r="T2" s="130" t="s">
        <v>19</v>
      </c>
      <c r="U2" s="130" t="s">
        <v>5</v>
      </c>
      <c r="V2" s="130" t="s">
        <v>6</v>
      </c>
      <c r="W2" s="130" t="s">
        <v>18</v>
      </c>
      <c r="X2" s="130" t="s">
        <v>13</v>
      </c>
      <c r="Y2" s="30"/>
      <c r="Z2" s="30"/>
      <c r="AC2" s="93" t="s">
        <v>118</v>
      </c>
      <c r="AD2" s="93" t="s">
        <v>139</v>
      </c>
      <c r="AE2" s="93" t="s">
        <v>140</v>
      </c>
      <c r="AF2" s="93" t="s">
        <v>136</v>
      </c>
      <c r="AG2" s="93" t="s">
        <v>137</v>
      </c>
    </row>
    <row r="3" ht="14.25" customHeight="1">
      <c r="A3" s="94" t="s">
        <v>168</v>
      </c>
      <c r="B3" s="57">
        <v>327.0</v>
      </c>
      <c r="C3" s="57">
        <v>291.5</v>
      </c>
      <c r="D3" s="57">
        <v>222.0</v>
      </c>
      <c r="E3" s="57">
        <v>236.5</v>
      </c>
      <c r="F3" s="57">
        <v>316.0</v>
      </c>
      <c r="G3" s="57">
        <v>230.75</v>
      </c>
      <c r="H3" s="57">
        <v>173.0</v>
      </c>
      <c r="I3" s="57">
        <v>172.5</v>
      </c>
      <c r="J3" s="57">
        <v>273.75</v>
      </c>
      <c r="K3" s="57">
        <v>188.0</v>
      </c>
      <c r="L3" s="57">
        <v>132.5</v>
      </c>
      <c r="M3" s="57">
        <v>0.0</v>
      </c>
      <c r="N3" s="57">
        <v>110.0</v>
      </c>
      <c r="O3" s="57">
        <v>107.0</v>
      </c>
      <c r="P3" s="57">
        <v>0.0</v>
      </c>
      <c r="Q3" s="57">
        <v>173.49</v>
      </c>
      <c r="R3" s="57">
        <v>132.25</v>
      </c>
      <c r="S3" s="57">
        <v>183.75</v>
      </c>
      <c r="T3" s="57">
        <v>104.56</v>
      </c>
      <c r="U3" s="57">
        <v>252.5</v>
      </c>
      <c r="V3" s="57">
        <v>187.5</v>
      </c>
      <c r="W3" s="57">
        <v>102.5</v>
      </c>
      <c r="X3" s="57">
        <v>0.0</v>
      </c>
      <c r="Y3" s="30"/>
      <c r="Z3" s="59"/>
      <c r="AA3" s="30" t="s">
        <v>120</v>
      </c>
      <c r="AB3" s="30"/>
      <c r="AC3" s="94">
        <v>1.0</v>
      </c>
      <c r="AD3" s="96" t="s">
        <v>167</v>
      </c>
      <c r="AE3" s="97" t="s">
        <v>169</v>
      </c>
      <c r="AF3" s="98" t="s">
        <v>5</v>
      </c>
      <c r="AG3" s="131">
        <v>0.9</v>
      </c>
    </row>
    <row r="4" ht="14.25" customHeight="1">
      <c r="A4" s="94">
        <v>1.0</v>
      </c>
      <c r="B4" s="57">
        <v>415.0</v>
      </c>
      <c r="C4" s="132">
        <v>179.0</v>
      </c>
      <c r="D4" s="57">
        <v>274.0</v>
      </c>
      <c r="E4" s="57">
        <v>300.5</v>
      </c>
      <c r="F4" s="57">
        <v>231.625</v>
      </c>
      <c r="G4" s="57">
        <v>208.375</v>
      </c>
      <c r="H4" s="57">
        <v>151.0</v>
      </c>
      <c r="I4" s="57">
        <v>163.5</v>
      </c>
      <c r="J4" s="132">
        <v>100.625</v>
      </c>
      <c r="K4" s="133">
        <v>0.0</v>
      </c>
      <c r="L4" s="57">
        <v>186.0</v>
      </c>
      <c r="M4" s="57">
        <v>110.0</v>
      </c>
      <c r="N4" s="57">
        <v>122.0</v>
      </c>
      <c r="O4" s="57">
        <v>126.0</v>
      </c>
      <c r="P4" s="57">
        <v>200.0</v>
      </c>
      <c r="Q4" s="57">
        <v>119.4</v>
      </c>
      <c r="R4" s="57">
        <v>224.5</v>
      </c>
      <c r="S4" s="57">
        <v>206.875</v>
      </c>
      <c r="T4" s="57">
        <v>102.11</v>
      </c>
      <c r="U4" s="57">
        <v>161.25</v>
      </c>
      <c r="V4" s="132">
        <v>112.5</v>
      </c>
      <c r="W4" s="57">
        <v>105.0</v>
      </c>
      <c r="X4" s="57">
        <v>278.9</v>
      </c>
      <c r="Y4" s="30"/>
      <c r="Z4" s="62"/>
      <c r="AA4" s="30" t="s">
        <v>121</v>
      </c>
      <c r="AB4" s="30"/>
      <c r="AC4" s="94">
        <v>2.0</v>
      </c>
      <c r="AD4" s="96" t="s">
        <v>11</v>
      </c>
      <c r="AE4" s="103" t="s">
        <v>170</v>
      </c>
      <c r="AF4" s="97" t="s">
        <v>11</v>
      </c>
      <c r="AG4" s="97">
        <v>165.0</v>
      </c>
    </row>
    <row r="5" ht="14.25" customHeight="1">
      <c r="A5" s="94">
        <v>2.0</v>
      </c>
      <c r="B5" s="57">
        <v>193.0</v>
      </c>
      <c r="C5" s="132">
        <v>185.0</v>
      </c>
      <c r="D5" s="57">
        <v>336.0</v>
      </c>
      <c r="E5" s="57">
        <v>183.0</v>
      </c>
      <c r="F5" s="57">
        <v>301.125</v>
      </c>
      <c r="G5" s="57">
        <v>238.75</v>
      </c>
      <c r="H5" s="57">
        <v>216.0</v>
      </c>
      <c r="I5" s="57">
        <v>191.5</v>
      </c>
      <c r="J5" s="57">
        <v>236.25</v>
      </c>
      <c r="K5" s="134">
        <v>0.0</v>
      </c>
      <c r="L5" s="57">
        <v>171.5</v>
      </c>
      <c r="M5" s="57">
        <v>101.0</v>
      </c>
      <c r="N5" s="57">
        <v>101.0</v>
      </c>
      <c r="O5" s="57">
        <v>220.5</v>
      </c>
      <c r="P5" s="57">
        <v>168.0</v>
      </c>
      <c r="Q5" s="57">
        <v>168.5</v>
      </c>
      <c r="R5" s="57">
        <v>154.375</v>
      </c>
      <c r="S5" s="57">
        <v>178.75</v>
      </c>
      <c r="T5" s="57">
        <v>171.035</v>
      </c>
      <c r="U5" s="57">
        <v>232.5</v>
      </c>
      <c r="V5" s="57">
        <v>168.75</v>
      </c>
      <c r="W5" s="57">
        <v>100.0</v>
      </c>
      <c r="X5" s="57">
        <v>269.9</v>
      </c>
      <c r="Y5" s="30"/>
      <c r="Z5" s="135"/>
      <c r="AA5" s="30" t="s">
        <v>122</v>
      </c>
      <c r="AB5" s="30"/>
      <c r="AC5" s="94">
        <v>3.0</v>
      </c>
      <c r="AD5" s="96" t="s">
        <v>2</v>
      </c>
      <c r="AE5" s="98" t="s">
        <v>171</v>
      </c>
      <c r="AF5" s="97" t="s">
        <v>172</v>
      </c>
      <c r="AG5" s="97" t="s">
        <v>173</v>
      </c>
    </row>
    <row r="6" ht="14.25" customHeight="1">
      <c r="A6" s="94">
        <v>3.0</v>
      </c>
      <c r="B6" s="57">
        <v>177.0</v>
      </c>
      <c r="C6" s="132">
        <v>176.5</v>
      </c>
      <c r="D6" s="57">
        <v>232.0</v>
      </c>
      <c r="E6" s="57">
        <v>37.5</v>
      </c>
      <c r="F6" s="57">
        <v>347.0</v>
      </c>
      <c r="G6" s="57">
        <v>407.0</v>
      </c>
      <c r="H6" s="57">
        <v>157.0</v>
      </c>
      <c r="I6" s="132">
        <v>49.0</v>
      </c>
      <c r="J6" s="57">
        <v>135.0</v>
      </c>
      <c r="K6" s="57">
        <v>122.0</v>
      </c>
      <c r="L6" s="57">
        <v>202.6</v>
      </c>
      <c r="M6" s="57">
        <v>110.0</v>
      </c>
      <c r="N6" s="57">
        <v>110.0</v>
      </c>
      <c r="O6" s="57">
        <v>110.0</v>
      </c>
      <c r="P6" s="57">
        <v>365.5</v>
      </c>
      <c r="Q6" s="57">
        <v>139.75</v>
      </c>
      <c r="R6" s="57">
        <v>266.225</v>
      </c>
      <c r="S6" s="132">
        <v>57.5</v>
      </c>
      <c r="T6" s="57">
        <v>178.93</v>
      </c>
      <c r="U6" s="57">
        <v>187.5</v>
      </c>
      <c r="V6" s="57">
        <v>187.5</v>
      </c>
      <c r="W6" s="57">
        <v>116.25</v>
      </c>
      <c r="X6" s="132">
        <v>0.0</v>
      </c>
      <c r="Y6" s="30"/>
      <c r="Z6" s="64"/>
      <c r="AA6" s="30" t="s">
        <v>123</v>
      </c>
      <c r="AB6" s="30"/>
      <c r="AC6" s="94">
        <v>4.0</v>
      </c>
      <c r="AD6" s="96" t="s">
        <v>21</v>
      </c>
      <c r="AE6" s="98" t="s">
        <v>174</v>
      </c>
      <c r="AF6" s="97" t="s">
        <v>2</v>
      </c>
      <c r="AG6" s="99">
        <v>0.3263888888888889</v>
      </c>
    </row>
    <row r="7" ht="14.25" customHeight="1">
      <c r="A7" s="94">
        <v>4.0</v>
      </c>
      <c r="B7" s="57">
        <v>314.0</v>
      </c>
      <c r="C7" s="57">
        <v>310.0</v>
      </c>
      <c r="D7" s="57">
        <v>323.0</v>
      </c>
      <c r="E7" s="57">
        <v>331.0</v>
      </c>
      <c r="F7" s="57">
        <v>294.375</v>
      </c>
      <c r="G7" s="57">
        <v>299.375</v>
      </c>
      <c r="H7" s="57">
        <v>167.0</v>
      </c>
      <c r="I7" s="57">
        <v>158.0</v>
      </c>
      <c r="J7" s="57">
        <v>116.25</v>
      </c>
      <c r="K7" s="57">
        <v>120.5</v>
      </c>
      <c r="L7" s="57">
        <v>152.0</v>
      </c>
      <c r="M7" s="57">
        <v>103.0</v>
      </c>
      <c r="N7" s="57">
        <v>159.0</v>
      </c>
      <c r="O7" s="57">
        <v>135.0</v>
      </c>
      <c r="P7" s="57">
        <v>135.5</v>
      </c>
      <c r="Q7" s="57">
        <v>122.29999999999998</v>
      </c>
      <c r="R7" s="57">
        <v>208.375</v>
      </c>
      <c r="S7" s="57">
        <v>239.375</v>
      </c>
      <c r="T7" s="57">
        <v>100.66</v>
      </c>
      <c r="U7" s="132">
        <v>125.0</v>
      </c>
      <c r="V7" s="132">
        <v>125.0</v>
      </c>
      <c r="W7" s="57">
        <v>102.5</v>
      </c>
      <c r="X7" s="57">
        <v>103.0</v>
      </c>
      <c r="Y7" s="30"/>
      <c r="Z7" s="30"/>
      <c r="AC7" s="94">
        <v>5.0</v>
      </c>
      <c r="AD7" s="96" t="s">
        <v>12</v>
      </c>
      <c r="AE7" s="98" t="s">
        <v>175</v>
      </c>
      <c r="AF7" s="97" t="s">
        <v>2</v>
      </c>
      <c r="AG7" s="97">
        <v>19.0</v>
      </c>
    </row>
    <row r="8" ht="14.25" customHeight="1">
      <c r="A8" s="94">
        <v>5.0</v>
      </c>
      <c r="B8" s="57">
        <v>390.5</v>
      </c>
      <c r="C8" s="57">
        <v>436.0</v>
      </c>
      <c r="D8" s="57">
        <v>253.0</v>
      </c>
      <c r="E8" s="57">
        <v>243.0</v>
      </c>
      <c r="F8" s="57">
        <v>189.525</v>
      </c>
      <c r="G8" s="57">
        <v>237.625</v>
      </c>
      <c r="H8" s="57">
        <v>196.0</v>
      </c>
      <c r="I8" s="57">
        <v>209.5</v>
      </c>
      <c r="J8" s="57">
        <v>166.25</v>
      </c>
      <c r="K8" s="57">
        <v>107.5</v>
      </c>
      <c r="L8" s="57">
        <v>252.5</v>
      </c>
      <c r="M8" s="57">
        <v>105.0</v>
      </c>
      <c r="N8" s="57">
        <v>218.0</v>
      </c>
      <c r="O8" s="57">
        <v>124.0</v>
      </c>
      <c r="P8" s="57">
        <v>192.5</v>
      </c>
      <c r="Q8" s="57">
        <v>241.42</v>
      </c>
      <c r="R8" s="57">
        <v>166.875</v>
      </c>
      <c r="S8" s="57">
        <v>206.25</v>
      </c>
      <c r="T8" s="57">
        <v>150.25</v>
      </c>
      <c r="U8" s="57">
        <v>236.25</v>
      </c>
      <c r="V8" s="57">
        <v>150.0</v>
      </c>
      <c r="W8" s="57">
        <v>111.25</v>
      </c>
      <c r="X8" s="57">
        <v>141.0</v>
      </c>
      <c r="Y8" s="30"/>
      <c r="Z8" s="30"/>
      <c r="AC8" s="94">
        <v>6.0</v>
      </c>
      <c r="AD8" s="96" t="s">
        <v>4</v>
      </c>
      <c r="AE8" s="98" t="s">
        <v>75</v>
      </c>
      <c r="AF8" s="97" t="s">
        <v>13</v>
      </c>
      <c r="AG8" s="97">
        <v>137.0</v>
      </c>
    </row>
    <row r="9" ht="14.25" customHeight="1">
      <c r="A9" s="94">
        <v>6.0</v>
      </c>
      <c r="B9" s="57">
        <v>193.0</v>
      </c>
      <c r="C9" s="57">
        <v>222.5</v>
      </c>
      <c r="D9" s="57">
        <v>200.5</v>
      </c>
      <c r="E9" s="57">
        <v>335.5</v>
      </c>
      <c r="F9" s="57">
        <v>211.75</v>
      </c>
      <c r="G9" s="57">
        <v>266.25</v>
      </c>
      <c r="H9" s="57">
        <v>155.0</v>
      </c>
      <c r="I9" s="57">
        <v>279.5</v>
      </c>
      <c r="J9" s="57">
        <v>134.375</v>
      </c>
      <c r="K9" s="57">
        <v>211.0</v>
      </c>
      <c r="L9" s="57">
        <v>110.0</v>
      </c>
      <c r="M9" s="57">
        <v>101.0</v>
      </c>
      <c r="N9" s="57">
        <v>133.0</v>
      </c>
      <c r="O9" s="132">
        <v>100.0</v>
      </c>
      <c r="P9" s="57">
        <v>276.5</v>
      </c>
      <c r="Q9" s="57">
        <v>104.3</v>
      </c>
      <c r="R9" s="57">
        <v>126.75</v>
      </c>
      <c r="S9" s="57">
        <v>404.375</v>
      </c>
      <c r="T9" s="57">
        <v>100.78</v>
      </c>
      <c r="U9" s="132">
        <v>120.0</v>
      </c>
      <c r="V9" s="57">
        <v>187.5</v>
      </c>
      <c r="W9" s="57">
        <v>101.25</v>
      </c>
      <c r="X9" s="57">
        <v>273.5</v>
      </c>
      <c r="Y9" s="30"/>
      <c r="Z9" s="30"/>
      <c r="AC9" s="94">
        <v>7.0</v>
      </c>
      <c r="AD9" s="96" t="s">
        <v>20</v>
      </c>
      <c r="AE9" s="98" t="s">
        <v>176</v>
      </c>
      <c r="AF9" s="97" t="s">
        <v>12</v>
      </c>
      <c r="AG9" s="97" t="s">
        <v>177</v>
      </c>
    </row>
    <row r="10" ht="14.25" customHeight="1">
      <c r="A10" s="94">
        <v>7.0</v>
      </c>
      <c r="B10" s="57">
        <v>294.5</v>
      </c>
      <c r="C10" s="57">
        <v>264.0</v>
      </c>
      <c r="D10" s="57">
        <v>444.0</v>
      </c>
      <c r="E10" s="57">
        <v>143.5</v>
      </c>
      <c r="F10" s="132">
        <v>149.5</v>
      </c>
      <c r="G10" s="57">
        <v>218.5</v>
      </c>
      <c r="H10" s="57">
        <v>161.0</v>
      </c>
      <c r="I10" s="57">
        <v>205.0</v>
      </c>
      <c r="J10" s="57">
        <v>324.375</v>
      </c>
      <c r="K10" s="57">
        <v>181.5</v>
      </c>
      <c r="L10" s="57">
        <v>286.5</v>
      </c>
      <c r="M10" s="57">
        <v>116.0</v>
      </c>
      <c r="N10" s="57">
        <v>125.0</v>
      </c>
      <c r="O10" s="57">
        <v>134.0</v>
      </c>
      <c r="P10" s="57">
        <v>186.0</v>
      </c>
      <c r="Q10" s="57">
        <v>48.3</v>
      </c>
      <c r="R10" s="57">
        <v>205.875</v>
      </c>
      <c r="S10" s="132">
        <v>105.0</v>
      </c>
      <c r="T10" s="57">
        <v>140.39</v>
      </c>
      <c r="U10" s="57">
        <v>191.25</v>
      </c>
      <c r="V10" s="57">
        <v>150.0</v>
      </c>
      <c r="W10" s="57">
        <v>100.0</v>
      </c>
      <c r="X10" s="57">
        <v>127.0</v>
      </c>
      <c r="Y10" s="30"/>
      <c r="Z10" s="30"/>
      <c r="AC10" s="94">
        <v>8.0</v>
      </c>
      <c r="AD10" s="96" t="s">
        <v>17</v>
      </c>
      <c r="AE10" s="98" t="s">
        <v>178</v>
      </c>
      <c r="AF10" s="97" t="s">
        <v>12</v>
      </c>
      <c r="AG10" s="97">
        <v>175.0</v>
      </c>
    </row>
    <row r="11" ht="14.25" customHeight="1">
      <c r="A11" s="94">
        <v>8.0</v>
      </c>
      <c r="B11" s="57">
        <v>257.0</v>
      </c>
      <c r="C11" s="57">
        <v>225.5</v>
      </c>
      <c r="D11" s="132">
        <v>105.0</v>
      </c>
      <c r="E11" s="57">
        <v>387.5</v>
      </c>
      <c r="F11" s="57">
        <v>264.0</v>
      </c>
      <c r="G11" s="57">
        <v>227.625</v>
      </c>
      <c r="H11" s="57">
        <v>124.0</v>
      </c>
      <c r="I11" s="57">
        <v>62.0</v>
      </c>
      <c r="J11" s="57">
        <v>106.25</v>
      </c>
      <c r="K11" s="132">
        <v>0.0</v>
      </c>
      <c r="L11" s="57">
        <v>235.0</v>
      </c>
      <c r="M11" s="57">
        <v>101.0</v>
      </c>
      <c r="N11" s="57">
        <v>167.0</v>
      </c>
      <c r="O11" s="57">
        <v>129.5</v>
      </c>
      <c r="P11" s="57">
        <v>303.5</v>
      </c>
      <c r="Q11" s="57">
        <v>128.065</v>
      </c>
      <c r="R11" s="57">
        <v>104.625</v>
      </c>
      <c r="S11" s="57">
        <v>176.25</v>
      </c>
      <c r="T11" s="57">
        <v>139.88</v>
      </c>
      <c r="U11" s="57">
        <v>204.375</v>
      </c>
      <c r="V11" s="132">
        <v>133.125</v>
      </c>
      <c r="W11" s="57">
        <v>122.5</v>
      </c>
      <c r="X11" s="57">
        <v>110.0</v>
      </c>
      <c r="Y11" s="30"/>
      <c r="Z11" s="30"/>
      <c r="AC11" s="94">
        <v>9.0</v>
      </c>
      <c r="AD11" s="96" t="s">
        <v>8</v>
      </c>
      <c r="AE11" s="98" t="s">
        <v>179</v>
      </c>
      <c r="AF11" s="97" t="s">
        <v>2</v>
      </c>
      <c r="AG11" s="97" t="s">
        <v>180</v>
      </c>
    </row>
    <row r="12" ht="14.25" customHeight="1">
      <c r="A12" s="94">
        <v>9.0</v>
      </c>
      <c r="B12" s="57">
        <v>324.5</v>
      </c>
      <c r="C12" s="57">
        <v>201.0</v>
      </c>
      <c r="D12" s="57">
        <v>481.0</v>
      </c>
      <c r="E12" s="57">
        <v>239.5</v>
      </c>
      <c r="F12" s="57">
        <v>149.75</v>
      </c>
      <c r="G12" s="57">
        <v>241.25</v>
      </c>
      <c r="H12" s="57">
        <v>132.0</v>
      </c>
      <c r="I12" s="57">
        <v>88.0</v>
      </c>
      <c r="J12" s="132">
        <v>100.625</v>
      </c>
      <c r="K12" s="57">
        <v>182.5</v>
      </c>
      <c r="L12" s="57">
        <v>119.0</v>
      </c>
      <c r="M12" s="57">
        <v>101.0</v>
      </c>
      <c r="N12" s="57">
        <v>101.0</v>
      </c>
      <c r="O12" s="57">
        <v>513.5</v>
      </c>
      <c r="P12" s="57">
        <v>271.0</v>
      </c>
      <c r="Q12" s="57">
        <v>141.9</v>
      </c>
      <c r="R12" s="136">
        <v>57.125</v>
      </c>
      <c r="S12" s="57">
        <v>198.125</v>
      </c>
      <c r="T12" s="57">
        <v>123.99000000000001</v>
      </c>
      <c r="U12" s="57">
        <v>251.25</v>
      </c>
      <c r="V12" s="57">
        <v>225.0</v>
      </c>
      <c r="W12" s="137">
        <v>72.5</v>
      </c>
      <c r="X12" s="57">
        <v>120.0</v>
      </c>
      <c r="Y12" s="30"/>
      <c r="Z12" s="30"/>
      <c r="AC12" s="94">
        <v>10.0</v>
      </c>
      <c r="AD12" s="96" t="s">
        <v>14</v>
      </c>
      <c r="AE12" s="98" t="s">
        <v>181</v>
      </c>
      <c r="AF12" s="97" t="s">
        <v>26</v>
      </c>
      <c r="AG12" s="97" t="s">
        <v>26</v>
      </c>
    </row>
    <row r="13" ht="14.25" customHeight="1">
      <c r="A13" s="94">
        <v>10.0</v>
      </c>
      <c r="B13" s="57">
        <v>203.0</v>
      </c>
      <c r="C13" s="57">
        <v>252.0</v>
      </c>
      <c r="D13" s="57">
        <v>165.0</v>
      </c>
      <c r="E13" s="57">
        <v>194.0</v>
      </c>
      <c r="F13" s="57">
        <v>283.75</v>
      </c>
      <c r="G13" s="57">
        <v>259.125</v>
      </c>
      <c r="H13" s="57">
        <v>149.0</v>
      </c>
      <c r="I13" s="57">
        <v>195.0</v>
      </c>
      <c r="J13" s="57">
        <v>253.125</v>
      </c>
      <c r="K13" s="57">
        <v>104.0</v>
      </c>
      <c r="L13" s="57">
        <v>199.0</v>
      </c>
      <c r="M13" s="57">
        <v>101.0</v>
      </c>
      <c r="N13" s="57">
        <v>106.0</v>
      </c>
      <c r="O13" s="57">
        <v>115.0</v>
      </c>
      <c r="P13" s="57">
        <v>173.5</v>
      </c>
      <c r="Q13" s="57">
        <v>212.225</v>
      </c>
      <c r="R13" s="138">
        <v>30.0</v>
      </c>
      <c r="S13" s="57">
        <v>126.875</v>
      </c>
      <c r="T13" s="57">
        <v>100.38</v>
      </c>
      <c r="U13" s="57">
        <v>230.0</v>
      </c>
      <c r="V13" s="57">
        <v>187.5</v>
      </c>
      <c r="W13" s="139">
        <v>0.0</v>
      </c>
      <c r="X13" s="57">
        <v>100.0</v>
      </c>
      <c r="Y13" s="30"/>
      <c r="Z13" s="30"/>
      <c r="AC13" s="94">
        <v>11.0</v>
      </c>
      <c r="AD13" s="96" t="s">
        <v>7</v>
      </c>
      <c r="AE13" s="98" t="s">
        <v>182</v>
      </c>
      <c r="AF13" s="97" t="s">
        <v>8</v>
      </c>
      <c r="AG13" s="97" t="s">
        <v>183</v>
      </c>
    </row>
    <row r="14" ht="14.25" customHeight="1">
      <c r="A14" s="94">
        <v>11.0</v>
      </c>
      <c r="B14" s="57">
        <v>137.5</v>
      </c>
      <c r="C14" s="57">
        <v>259.0</v>
      </c>
      <c r="D14" s="57">
        <v>264.0</v>
      </c>
      <c r="E14" s="57">
        <v>220.5</v>
      </c>
      <c r="F14" s="57">
        <v>178.625</v>
      </c>
      <c r="G14" s="57">
        <v>191.6875</v>
      </c>
      <c r="H14" s="57">
        <v>208.0</v>
      </c>
      <c r="I14" s="57">
        <v>238.1</v>
      </c>
      <c r="J14" s="57">
        <v>113.75</v>
      </c>
      <c r="K14" s="57">
        <v>0.0</v>
      </c>
      <c r="L14" s="57">
        <v>106.0</v>
      </c>
      <c r="M14" s="139">
        <v>0.0</v>
      </c>
      <c r="N14" s="57">
        <v>102.0</v>
      </c>
      <c r="O14" s="57">
        <v>128.0</v>
      </c>
      <c r="P14" s="132">
        <v>102.0</v>
      </c>
      <c r="Q14" s="57">
        <v>115.60999999999999</v>
      </c>
      <c r="R14" s="132">
        <v>100.625</v>
      </c>
      <c r="S14" s="57">
        <v>200.5</v>
      </c>
      <c r="T14" s="57">
        <v>112.28999999999999</v>
      </c>
      <c r="U14" s="57">
        <v>337.5</v>
      </c>
      <c r="V14" s="57">
        <v>300.0</v>
      </c>
      <c r="W14" s="57">
        <v>105.0</v>
      </c>
      <c r="X14" s="57">
        <v>100.0</v>
      </c>
      <c r="Y14" s="30"/>
      <c r="Z14" s="30"/>
      <c r="AC14" s="94">
        <v>12.0</v>
      </c>
      <c r="AD14" s="96" t="s">
        <v>9</v>
      </c>
      <c r="AE14" s="98" t="s">
        <v>184</v>
      </c>
      <c r="AF14" s="97" t="s">
        <v>2</v>
      </c>
      <c r="AG14" s="97" t="s">
        <v>185</v>
      </c>
    </row>
    <row r="15" ht="14.25" customHeight="1">
      <c r="A15" s="94">
        <v>12.0</v>
      </c>
      <c r="B15" s="57">
        <v>235.0</v>
      </c>
      <c r="C15" s="57">
        <v>260.0</v>
      </c>
      <c r="D15" s="57">
        <v>133.0</v>
      </c>
      <c r="E15" s="57">
        <v>155.0</v>
      </c>
      <c r="F15" s="57">
        <v>200.875</v>
      </c>
      <c r="G15" s="57">
        <v>237.5</v>
      </c>
      <c r="H15" s="132">
        <v>119.0</v>
      </c>
      <c r="I15" s="57">
        <v>210.1</v>
      </c>
      <c r="J15" s="57">
        <v>190.625</v>
      </c>
      <c r="K15" s="140">
        <v>0.0</v>
      </c>
      <c r="L15" s="57">
        <v>101.0</v>
      </c>
      <c r="M15" s="133">
        <v>35.0</v>
      </c>
      <c r="N15" s="57">
        <v>101.0</v>
      </c>
      <c r="O15" s="57">
        <v>122.0</v>
      </c>
      <c r="P15" s="57">
        <v>158.0</v>
      </c>
      <c r="Q15" s="57">
        <v>127.6</v>
      </c>
      <c r="R15" s="57">
        <v>102.5</v>
      </c>
      <c r="S15" s="57">
        <v>161.875</v>
      </c>
      <c r="T15" s="57">
        <v>104.36</v>
      </c>
      <c r="U15" s="57">
        <v>168.75</v>
      </c>
      <c r="V15" s="57">
        <v>225.0</v>
      </c>
      <c r="W15" s="57">
        <v>117.5</v>
      </c>
      <c r="X15" s="57">
        <v>242.0</v>
      </c>
      <c r="Y15" s="30"/>
      <c r="Z15" s="30"/>
      <c r="AC15" s="94">
        <v>13.0</v>
      </c>
      <c r="AD15" s="96" t="s">
        <v>3</v>
      </c>
      <c r="AE15" s="98" t="s">
        <v>79</v>
      </c>
      <c r="AF15" s="97" t="s">
        <v>0</v>
      </c>
      <c r="AG15" s="97">
        <v>54.0</v>
      </c>
    </row>
    <row r="16" ht="14.25" customHeight="1">
      <c r="A16" s="94">
        <v>13.0</v>
      </c>
      <c r="B16" s="57">
        <v>197.0</v>
      </c>
      <c r="C16" s="57">
        <v>321.0</v>
      </c>
      <c r="D16" s="57">
        <v>198.0</v>
      </c>
      <c r="E16" s="57">
        <v>200.5</v>
      </c>
      <c r="F16" s="57">
        <v>196.125</v>
      </c>
      <c r="G16" s="57">
        <v>265.0</v>
      </c>
      <c r="H16" s="132">
        <v>115.0</v>
      </c>
      <c r="I16" s="139">
        <v>51.0</v>
      </c>
      <c r="J16" s="57">
        <v>118.125</v>
      </c>
      <c r="K16" s="57">
        <v>101.5</v>
      </c>
      <c r="L16" s="57">
        <v>108.5</v>
      </c>
      <c r="M16" s="139">
        <v>0.0</v>
      </c>
      <c r="N16" s="57">
        <v>155.0</v>
      </c>
      <c r="O16" s="57">
        <v>124.0</v>
      </c>
      <c r="P16" s="132">
        <v>101.0</v>
      </c>
      <c r="Q16" s="57">
        <v>100.9</v>
      </c>
      <c r="R16" s="57">
        <v>101.5</v>
      </c>
      <c r="S16" s="57">
        <v>176.875</v>
      </c>
      <c r="T16" s="57">
        <v>101.22999999999999</v>
      </c>
      <c r="U16" s="57">
        <v>199.375</v>
      </c>
      <c r="V16" s="57">
        <v>187.5</v>
      </c>
      <c r="W16" s="57">
        <v>102.5</v>
      </c>
      <c r="X16" s="139">
        <v>67.0</v>
      </c>
      <c r="Y16" s="30"/>
      <c r="Z16" s="30"/>
      <c r="AC16" s="94">
        <v>14.0</v>
      </c>
      <c r="AD16" s="96" t="s">
        <v>16</v>
      </c>
      <c r="AE16" s="98" t="s">
        <v>186</v>
      </c>
      <c r="AF16" s="97" t="s">
        <v>16</v>
      </c>
      <c r="AG16" s="97" t="s">
        <v>187</v>
      </c>
    </row>
    <row r="17" ht="14.25" customHeight="1">
      <c r="A17" s="94">
        <v>14.0</v>
      </c>
      <c r="B17" s="57">
        <v>101.0</v>
      </c>
      <c r="C17" s="57">
        <v>276.0</v>
      </c>
      <c r="D17" s="57">
        <v>114.0</v>
      </c>
      <c r="E17" s="57">
        <v>243.5</v>
      </c>
      <c r="F17" s="132">
        <v>131.125</v>
      </c>
      <c r="G17" s="57">
        <v>228.125</v>
      </c>
      <c r="H17" s="57">
        <v>182.0</v>
      </c>
      <c r="I17" s="57">
        <v>109.0</v>
      </c>
      <c r="J17" s="57">
        <v>165.625</v>
      </c>
      <c r="K17" s="57">
        <v>101.0</v>
      </c>
      <c r="L17" s="132">
        <v>101.0</v>
      </c>
      <c r="M17" s="57">
        <v>124.0</v>
      </c>
      <c r="N17" s="65">
        <v>57.0</v>
      </c>
      <c r="O17" s="57">
        <v>109.0</v>
      </c>
      <c r="P17" s="57">
        <v>193.0</v>
      </c>
      <c r="Q17" s="57">
        <v>196.16416666666666</v>
      </c>
      <c r="R17" s="57">
        <v>126.125</v>
      </c>
      <c r="S17" s="57">
        <v>145.625</v>
      </c>
      <c r="T17" s="57">
        <v>101.0</v>
      </c>
      <c r="U17" s="57">
        <v>212.5</v>
      </c>
      <c r="V17" s="57">
        <v>150.0</v>
      </c>
      <c r="W17" s="57">
        <v>248.75</v>
      </c>
      <c r="X17" s="57">
        <v>154.0</v>
      </c>
      <c r="Y17" s="30"/>
      <c r="Z17" s="30"/>
      <c r="AC17" s="94">
        <v>15.0</v>
      </c>
      <c r="AD17" s="96" t="s">
        <v>15</v>
      </c>
      <c r="AE17" s="98" t="s">
        <v>188</v>
      </c>
      <c r="AF17" s="97" t="s">
        <v>1</v>
      </c>
      <c r="AG17" s="97" t="s">
        <v>189</v>
      </c>
    </row>
    <row r="18" ht="14.25" customHeight="1">
      <c r="A18" s="94">
        <v>15.0</v>
      </c>
      <c r="B18" s="139">
        <v>36.0</v>
      </c>
      <c r="C18" s="57">
        <v>279.5</v>
      </c>
      <c r="D18" s="57">
        <v>141.0</v>
      </c>
      <c r="E18" s="57">
        <v>249.0</v>
      </c>
      <c r="F18" s="132">
        <v>137.75</v>
      </c>
      <c r="G18" s="57">
        <v>215.125</v>
      </c>
      <c r="H18" s="57">
        <v>129.0</v>
      </c>
      <c r="I18" s="139">
        <v>53.25</v>
      </c>
      <c r="J18" s="132">
        <v>89.625</v>
      </c>
      <c r="K18" s="141">
        <v>51.5</v>
      </c>
      <c r="L18" s="57">
        <v>117.5</v>
      </c>
      <c r="M18" s="142">
        <v>44.0</v>
      </c>
      <c r="N18" s="57">
        <v>101.0</v>
      </c>
      <c r="O18" s="57">
        <v>155.0</v>
      </c>
      <c r="P18" s="57">
        <v>149.5</v>
      </c>
      <c r="Q18" s="57">
        <v>193.89999999999998</v>
      </c>
      <c r="R18" s="57">
        <v>177.625</v>
      </c>
      <c r="S18" s="57">
        <v>221.375</v>
      </c>
      <c r="T18" s="57">
        <v>100.0</v>
      </c>
      <c r="U18" s="57">
        <v>243.75</v>
      </c>
      <c r="V18" s="57">
        <v>262.5</v>
      </c>
      <c r="W18" s="57">
        <v>140.25</v>
      </c>
      <c r="X18" s="57">
        <v>122.0</v>
      </c>
      <c r="Y18" s="30"/>
      <c r="Z18" s="30"/>
      <c r="AC18" s="94">
        <v>16.0</v>
      </c>
      <c r="AD18" s="96" t="s">
        <v>1</v>
      </c>
      <c r="AE18" s="97" t="s">
        <v>190</v>
      </c>
      <c r="AF18" s="97" t="s">
        <v>0</v>
      </c>
      <c r="AG18" s="97">
        <v>19.0</v>
      </c>
    </row>
    <row r="19" ht="14.25" customHeight="1">
      <c r="A19" s="94">
        <v>16.0</v>
      </c>
      <c r="B19" s="57">
        <v>101.0</v>
      </c>
      <c r="C19" s="57">
        <v>270.0</v>
      </c>
      <c r="D19" s="132">
        <v>101.0</v>
      </c>
      <c r="E19" s="57">
        <v>125.0</v>
      </c>
      <c r="F19" s="57">
        <v>237.0</v>
      </c>
      <c r="G19" s="57">
        <v>207.375</v>
      </c>
      <c r="H19" s="57">
        <v>134.0</v>
      </c>
      <c r="I19" s="57">
        <v>125.5</v>
      </c>
      <c r="J19" s="57">
        <v>283.125</v>
      </c>
      <c r="K19" s="141">
        <v>0.0</v>
      </c>
      <c r="L19" s="57">
        <v>109.5</v>
      </c>
      <c r="M19" s="57">
        <v>105.0</v>
      </c>
      <c r="N19" s="57">
        <v>110.0</v>
      </c>
      <c r="O19" s="139">
        <v>0.0</v>
      </c>
      <c r="P19" s="57">
        <v>170.0</v>
      </c>
      <c r="Q19" s="137">
        <v>35.0</v>
      </c>
      <c r="R19" s="57">
        <v>135.875</v>
      </c>
      <c r="S19" s="57">
        <v>148.125</v>
      </c>
      <c r="T19" s="142">
        <v>50.0</v>
      </c>
      <c r="U19" s="132">
        <v>131.25</v>
      </c>
      <c r="V19" s="57">
        <v>187.5</v>
      </c>
      <c r="W19" s="57">
        <v>100.0</v>
      </c>
      <c r="X19" s="57">
        <v>239.0</v>
      </c>
      <c r="Y19" s="57"/>
      <c r="Z19" s="30"/>
      <c r="AC19" s="94">
        <v>17.0</v>
      </c>
      <c r="AD19" s="96" t="s">
        <v>22</v>
      </c>
      <c r="AE19" s="97" t="s">
        <v>191</v>
      </c>
      <c r="AF19" s="97" t="s">
        <v>22</v>
      </c>
      <c r="AG19" s="97">
        <v>6.0</v>
      </c>
    </row>
    <row r="20" ht="14.25" customHeight="1">
      <c r="A20" s="94">
        <v>17.0</v>
      </c>
      <c r="B20" s="132">
        <v>100.5</v>
      </c>
      <c r="C20" s="57">
        <v>241.0</v>
      </c>
      <c r="D20" s="57">
        <v>202.0</v>
      </c>
      <c r="E20" s="57">
        <v>101.5</v>
      </c>
      <c r="F20" s="57">
        <v>164.25</v>
      </c>
      <c r="G20" s="132">
        <v>130.875</v>
      </c>
      <c r="H20" s="57">
        <v>134.0</v>
      </c>
      <c r="I20" s="57">
        <v>122.5</v>
      </c>
      <c r="J20" s="57">
        <v>215.875</v>
      </c>
      <c r="K20" s="57">
        <v>101.0</v>
      </c>
      <c r="L20" s="57">
        <v>116.0</v>
      </c>
      <c r="M20" s="57">
        <v>101.0</v>
      </c>
      <c r="N20" s="57">
        <v>118.0</v>
      </c>
      <c r="O20" s="57">
        <v>162.5</v>
      </c>
      <c r="P20" s="57">
        <v>138.0</v>
      </c>
      <c r="Q20" s="143">
        <v>0.0</v>
      </c>
      <c r="R20" s="57">
        <v>157.0</v>
      </c>
      <c r="S20" s="132">
        <v>102.5</v>
      </c>
      <c r="T20" s="57">
        <v>100.7</v>
      </c>
      <c r="U20" s="57">
        <v>287.5</v>
      </c>
      <c r="V20" s="57">
        <v>225.0</v>
      </c>
      <c r="W20" s="57">
        <v>135.0</v>
      </c>
      <c r="X20" s="57">
        <v>249.0</v>
      </c>
      <c r="Y20" s="57"/>
      <c r="Z20" s="30"/>
      <c r="AC20" s="94">
        <v>18.0</v>
      </c>
      <c r="AD20" s="96" t="s">
        <v>10</v>
      </c>
      <c r="AE20" s="97" t="s">
        <v>192</v>
      </c>
      <c r="AF20" s="97" t="s">
        <v>10</v>
      </c>
      <c r="AG20" s="97">
        <v>18.0</v>
      </c>
    </row>
    <row r="21" ht="14.25" customHeight="1">
      <c r="A21" s="94">
        <v>18.0</v>
      </c>
      <c r="B21" s="57">
        <v>332.0</v>
      </c>
      <c r="C21" s="57">
        <v>314.5</v>
      </c>
      <c r="D21" s="57">
        <v>317.0</v>
      </c>
      <c r="E21" s="137">
        <v>6.0</v>
      </c>
      <c r="F21" s="57">
        <v>228.0</v>
      </c>
      <c r="G21" s="57">
        <v>141.625</v>
      </c>
      <c r="H21" s="57">
        <v>369.5</v>
      </c>
      <c r="I21" s="57">
        <v>216.0</v>
      </c>
      <c r="J21" s="57">
        <v>132.0</v>
      </c>
      <c r="K21" s="57">
        <v>189.5</v>
      </c>
      <c r="L21" s="57">
        <v>106.8</v>
      </c>
      <c r="M21" s="57">
        <v>108.0</v>
      </c>
      <c r="N21" s="57">
        <v>101.0</v>
      </c>
      <c r="O21" s="57">
        <v>286.0</v>
      </c>
      <c r="P21" s="57">
        <v>238.0</v>
      </c>
      <c r="Q21" s="139">
        <v>0.0</v>
      </c>
      <c r="R21" s="57">
        <v>129.375</v>
      </c>
      <c r="S21" s="57">
        <v>146.875</v>
      </c>
      <c r="T21" s="139">
        <v>0.0</v>
      </c>
      <c r="U21" s="57">
        <v>187.5</v>
      </c>
      <c r="V21" s="57">
        <v>187.5</v>
      </c>
      <c r="W21" s="57">
        <v>162.5</v>
      </c>
      <c r="X21" s="57">
        <v>242.0</v>
      </c>
      <c r="Y21" s="30"/>
      <c r="Z21" s="30"/>
      <c r="AC21" s="94">
        <v>19.0</v>
      </c>
      <c r="AD21" s="96" t="s">
        <v>19</v>
      </c>
      <c r="AE21" s="97" t="s">
        <v>193</v>
      </c>
      <c r="AF21" s="97" t="s">
        <v>2</v>
      </c>
      <c r="AG21" s="97">
        <v>9.0</v>
      </c>
    </row>
    <row r="22" ht="14.25" customHeight="1">
      <c r="A22" s="94">
        <v>19.0</v>
      </c>
      <c r="B22" s="57">
        <v>316.5</v>
      </c>
      <c r="C22" s="57">
        <v>266.5</v>
      </c>
      <c r="D22" s="57">
        <v>188.5</v>
      </c>
      <c r="E22" s="137">
        <v>12.0</v>
      </c>
      <c r="F22" s="57">
        <v>238.25</v>
      </c>
      <c r="G22" s="57">
        <v>207.75</v>
      </c>
      <c r="H22" s="57">
        <v>155.0</v>
      </c>
      <c r="I22" s="57">
        <v>155.25</v>
      </c>
      <c r="J22" s="57">
        <v>333.75</v>
      </c>
      <c r="K22" s="57">
        <v>109.0</v>
      </c>
      <c r="L22" s="57">
        <v>104.5</v>
      </c>
      <c r="M22" s="57">
        <v>110.0</v>
      </c>
      <c r="N22" s="133">
        <v>49.0</v>
      </c>
      <c r="O22" s="132">
        <v>104.0</v>
      </c>
      <c r="P22" s="57">
        <v>173.0</v>
      </c>
      <c r="Q22" s="138">
        <v>0.0</v>
      </c>
      <c r="R22" s="57">
        <v>140.375</v>
      </c>
      <c r="S22" s="57">
        <v>155.0</v>
      </c>
      <c r="T22" s="139">
        <v>0.0</v>
      </c>
      <c r="U22" s="57">
        <v>187.5</v>
      </c>
      <c r="V22" s="57">
        <v>150.0</v>
      </c>
      <c r="W22" s="57">
        <v>109.25</v>
      </c>
      <c r="X22" s="57">
        <v>175.0</v>
      </c>
      <c r="Y22" s="30"/>
      <c r="Z22" s="30"/>
      <c r="AC22" s="94">
        <v>20.0</v>
      </c>
      <c r="AD22" s="96" t="s">
        <v>5</v>
      </c>
      <c r="AE22" s="97" t="s">
        <v>194</v>
      </c>
      <c r="AF22" s="97" t="s">
        <v>155</v>
      </c>
      <c r="AG22" s="97" t="s">
        <v>173</v>
      </c>
    </row>
    <row r="23" ht="14.25" customHeight="1">
      <c r="A23" s="94">
        <v>20.0</v>
      </c>
      <c r="B23" s="57">
        <v>539.5</v>
      </c>
      <c r="C23" s="57">
        <v>377.0</v>
      </c>
      <c r="D23" s="57">
        <v>144.0</v>
      </c>
      <c r="E23" s="143">
        <v>0.0</v>
      </c>
      <c r="F23" s="57">
        <v>340.375</v>
      </c>
      <c r="G23" s="57">
        <v>297.0</v>
      </c>
      <c r="H23" s="57">
        <v>173.0</v>
      </c>
      <c r="I23" s="57">
        <v>194.75</v>
      </c>
      <c r="J23" s="57">
        <v>206.25</v>
      </c>
      <c r="K23" s="141">
        <v>1.0</v>
      </c>
      <c r="L23" s="57">
        <v>105.5</v>
      </c>
      <c r="M23" s="57">
        <v>101.0</v>
      </c>
      <c r="N23" s="57">
        <v>105.0</v>
      </c>
      <c r="O23" s="57">
        <v>110.0</v>
      </c>
      <c r="P23" s="132">
        <v>101.5</v>
      </c>
      <c r="Q23" s="137">
        <v>0.0</v>
      </c>
      <c r="R23" s="57">
        <v>144.375</v>
      </c>
      <c r="S23" s="57">
        <v>113.125</v>
      </c>
      <c r="T23" s="57">
        <v>104.47500000000001</v>
      </c>
      <c r="U23" s="57">
        <v>258.25</v>
      </c>
      <c r="V23" s="57">
        <v>194.5</v>
      </c>
      <c r="W23" s="139">
        <v>0.0</v>
      </c>
      <c r="X23" s="57">
        <v>120.0</v>
      </c>
      <c r="Y23" s="30"/>
      <c r="Z23" s="30"/>
      <c r="AC23" s="94">
        <v>21.0</v>
      </c>
      <c r="AD23" s="96" t="s">
        <v>6</v>
      </c>
      <c r="AE23" s="97" t="s">
        <v>195</v>
      </c>
      <c r="AF23" s="97" t="s">
        <v>155</v>
      </c>
      <c r="AG23" s="97" t="s">
        <v>196</v>
      </c>
    </row>
    <row r="24" ht="14.25" customHeight="1">
      <c r="A24" s="94">
        <v>21.0</v>
      </c>
      <c r="B24" s="57">
        <v>148.0</v>
      </c>
      <c r="C24" s="57">
        <v>306.0</v>
      </c>
      <c r="D24" s="57">
        <v>115.0</v>
      </c>
      <c r="E24" s="132">
        <v>0.0</v>
      </c>
      <c r="F24" s="57">
        <v>270.875</v>
      </c>
      <c r="G24" s="57">
        <v>252.75</v>
      </c>
      <c r="H24" s="57">
        <v>132.0</v>
      </c>
      <c r="I24" s="57">
        <v>196.14285714285717</v>
      </c>
      <c r="J24" s="57">
        <v>127.5</v>
      </c>
      <c r="K24" s="141">
        <v>0.0</v>
      </c>
      <c r="L24" s="132">
        <v>101.0</v>
      </c>
      <c r="M24" s="57">
        <v>103.0</v>
      </c>
      <c r="N24" s="57">
        <v>101.0</v>
      </c>
      <c r="O24" s="57">
        <v>110.0</v>
      </c>
      <c r="P24" s="57">
        <v>107.5</v>
      </c>
      <c r="Q24" s="57">
        <v>0.0</v>
      </c>
      <c r="R24" s="57">
        <v>158.75</v>
      </c>
      <c r="S24" s="57">
        <v>121.9</v>
      </c>
      <c r="T24" s="57">
        <v>105.0</v>
      </c>
      <c r="U24" s="57">
        <v>193.5</v>
      </c>
      <c r="V24" s="57">
        <v>268.5</v>
      </c>
      <c r="W24" s="57">
        <v>100.0</v>
      </c>
      <c r="X24" s="137">
        <v>85.0</v>
      </c>
      <c r="Y24" s="30"/>
      <c r="AC24" s="94">
        <v>22.0</v>
      </c>
      <c r="AD24" s="96" t="s">
        <v>18</v>
      </c>
      <c r="AE24" s="97" t="s">
        <v>197</v>
      </c>
      <c r="AF24" s="97" t="s">
        <v>0</v>
      </c>
      <c r="AG24" s="97" t="s">
        <v>198</v>
      </c>
    </row>
    <row r="25" ht="14.25" customHeight="1">
      <c r="A25" s="94">
        <v>22.0</v>
      </c>
      <c r="B25" s="57">
        <v>156.5</v>
      </c>
      <c r="C25" s="57">
        <v>262.0</v>
      </c>
      <c r="D25" s="144">
        <v>0.0</v>
      </c>
      <c r="E25" s="145">
        <v>0.0</v>
      </c>
      <c r="F25" s="57">
        <v>273.875</v>
      </c>
      <c r="G25" s="132">
        <v>126.375</v>
      </c>
      <c r="H25" s="57">
        <v>146.0</v>
      </c>
      <c r="I25" s="57">
        <v>159.9</v>
      </c>
      <c r="J25" s="57">
        <v>140.625</v>
      </c>
      <c r="K25" s="141">
        <v>30.0</v>
      </c>
      <c r="L25" s="132">
        <v>101.0</v>
      </c>
      <c r="M25" s="57">
        <v>105.0</v>
      </c>
      <c r="N25" s="139">
        <v>33.0</v>
      </c>
      <c r="O25" s="57">
        <v>162.0</v>
      </c>
      <c r="P25" s="57">
        <v>131.5</v>
      </c>
      <c r="Q25" s="57">
        <v>71.5</v>
      </c>
      <c r="R25" s="57">
        <v>136.25</v>
      </c>
      <c r="S25" s="57">
        <v>125.0</v>
      </c>
      <c r="T25" s="133">
        <v>0.0</v>
      </c>
      <c r="U25" s="57">
        <v>232.5</v>
      </c>
      <c r="V25" s="57">
        <v>183.75</v>
      </c>
      <c r="W25" s="57">
        <v>133.125</v>
      </c>
      <c r="X25" s="139">
        <v>0.0</v>
      </c>
      <c r="Y25" s="30"/>
      <c r="AC25" s="94">
        <v>23.0</v>
      </c>
      <c r="AD25" s="96" t="s">
        <v>13</v>
      </c>
      <c r="AE25" s="98" t="s">
        <v>199</v>
      </c>
      <c r="AF25" s="97" t="s">
        <v>2</v>
      </c>
      <c r="AG25" s="97" t="s">
        <v>200</v>
      </c>
    </row>
    <row r="26" ht="14.25" customHeight="1">
      <c r="A26" s="94" t="s">
        <v>201</v>
      </c>
      <c r="B26" s="139">
        <v>48.0</v>
      </c>
      <c r="C26" s="57">
        <v>237.0</v>
      </c>
      <c r="D26" s="57">
        <v>109.0</v>
      </c>
      <c r="E26" s="57">
        <v>112.0</v>
      </c>
      <c r="F26" s="57">
        <v>229.125</v>
      </c>
      <c r="G26" s="139">
        <v>0.0</v>
      </c>
      <c r="H26" s="132">
        <v>78.0</v>
      </c>
      <c r="I26" s="57">
        <v>119.33333333333333</v>
      </c>
      <c r="J26" s="57">
        <v>101.25</v>
      </c>
      <c r="K26" s="57">
        <v>101.0</v>
      </c>
      <c r="L26" s="57">
        <v>117.5</v>
      </c>
      <c r="M26" s="57">
        <v>107.0</v>
      </c>
      <c r="N26" s="146">
        <v>44.0</v>
      </c>
      <c r="O26" s="57">
        <v>170.0</v>
      </c>
      <c r="P26" s="57">
        <v>182.0</v>
      </c>
      <c r="Q26" s="57">
        <v>154.89999999999998</v>
      </c>
      <c r="R26" s="57">
        <v>126.5</v>
      </c>
      <c r="S26" s="57">
        <v>313.75</v>
      </c>
      <c r="T26" s="57">
        <v>102.5</v>
      </c>
      <c r="U26" s="57">
        <v>187.5</v>
      </c>
      <c r="V26" s="57">
        <v>150.0</v>
      </c>
      <c r="W26" s="139">
        <v>0.0</v>
      </c>
      <c r="X26" s="57">
        <v>176.0</v>
      </c>
      <c r="Y26" s="30"/>
      <c r="AC26" s="92"/>
      <c r="AD26" s="92"/>
      <c r="AE26" s="92"/>
      <c r="AF26" s="92"/>
      <c r="AG26" s="92"/>
    </row>
    <row r="27" ht="14.25" customHeight="1">
      <c r="A27" s="66" t="s">
        <v>126</v>
      </c>
      <c r="B27" s="147">
        <f t="shared" ref="B27:X27" si="1">SUM(B3:B26)</f>
        <v>5537</v>
      </c>
      <c r="C27" s="147">
        <f t="shared" si="1"/>
        <v>6412.5</v>
      </c>
      <c r="D27" s="147">
        <f t="shared" si="1"/>
        <v>5062</v>
      </c>
      <c r="E27" s="147">
        <f t="shared" si="1"/>
        <v>4056.5</v>
      </c>
      <c r="F27" s="147">
        <f t="shared" si="1"/>
        <v>5564.65</v>
      </c>
      <c r="G27" s="147">
        <f t="shared" si="1"/>
        <v>5335.8125</v>
      </c>
      <c r="H27" s="147">
        <f t="shared" si="1"/>
        <v>3855.5</v>
      </c>
      <c r="I27" s="147">
        <f t="shared" si="1"/>
        <v>3724.32619</v>
      </c>
      <c r="J27" s="147">
        <f t="shared" si="1"/>
        <v>4165</v>
      </c>
      <c r="K27" s="147">
        <f t="shared" si="1"/>
        <v>2002.5</v>
      </c>
      <c r="L27" s="147">
        <f t="shared" si="1"/>
        <v>3442.4</v>
      </c>
      <c r="M27" s="147">
        <f t="shared" si="1"/>
        <v>2092</v>
      </c>
      <c r="N27" s="147">
        <f t="shared" si="1"/>
        <v>2629</v>
      </c>
      <c r="O27" s="147">
        <f t="shared" si="1"/>
        <v>3557</v>
      </c>
      <c r="P27" s="147">
        <f t="shared" si="1"/>
        <v>4217</v>
      </c>
      <c r="Q27" s="147">
        <f t="shared" si="1"/>
        <v>2595.224167</v>
      </c>
      <c r="R27" s="147">
        <f t="shared" si="1"/>
        <v>3413.85</v>
      </c>
      <c r="S27" s="147">
        <f t="shared" si="1"/>
        <v>4215.65</v>
      </c>
      <c r="T27" s="147">
        <f t="shared" si="1"/>
        <v>2394.52</v>
      </c>
      <c r="U27" s="147">
        <f t="shared" si="1"/>
        <v>5019.25</v>
      </c>
      <c r="V27" s="147">
        <f t="shared" si="1"/>
        <v>4486.125</v>
      </c>
      <c r="W27" s="147">
        <f t="shared" si="1"/>
        <v>2487.625</v>
      </c>
      <c r="X27" s="147">
        <f t="shared" si="1"/>
        <v>3494.3</v>
      </c>
      <c r="Y27" s="69"/>
      <c r="Z27" s="69"/>
      <c r="AA27" s="69"/>
      <c r="AB27" s="69"/>
      <c r="AC27" s="121"/>
      <c r="AD27" s="121"/>
      <c r="AE27" s="121"/>
      <c r="AF27" s="121"/>
      <c r="AG27" s="121"/>
      <c r="AH27" s="69"/>
      <c r="AI27" s="69"/>
    </row>
    <row r="28" ht="14.25" customHeight="1">
      <c r="A28" s="70" t="s">
        <v>127</v>
      </c>
      <c r="B28" s="71">
        <f t="shared" ref="B28:X28" si="2">AVERAGE(B3:B26)</f>
        <v>230.7083333</v>
      </c>
      <c r="C28" s="71">
        <f t="shared" si="2"/>
        <v>267.1875</v>
      </c>
      <c r="D28" s="71">
        <f t="shared" si="2"/>
        <v>210.9166667</v>
      </c>
      <c r="E28" s="71">
        <f t="shared" si="2"/>
        <v>169.0208333</v>
      </c>
      <c r="F28" s="71">
        <f t="shared" si="2"/>
        <v>231.8604167</v>
      </c>
      <c r="G28" s="71">
        <f t="shared" si="2"/>
        <v>222.3255208</v>
      </c>
      <c r="H28" s="71">
        <f t="shared" si="2"/>
        <v>160.6458333</v>
      </c>
      <c r="I28" s="71">
        <f t="shared" si="2"/>
        <v>155.1802579</v>
      </c>
      <c r="J28" s="72">
        <f t="shared" si="2"/>
        <v>173.5416667</v>
      </c>
      <c r="K28" s="72">
        <f t="shared" si="2"/>
        <v>83.4375</v>
      </c>
      <c r="L28" s="72">
        <f t="shared" si="2"/>
        <v>143.4333333</v>
      </c>
      <c r="M28" s="72">
        <f t="shared" si="2"/>
        <v>87.16666667</v>
      </c>
      <c r="N28" s="72">
        <f t="shared" si="2"/>
        <v>109.5416667</v>
      </c>
      <c r="O28" s="72">
        <f t="shared" si="2"/>
        <v>148.2083333</v>
      </c>
      <c r="P28" s="72">
        <f t="shared" si="2"/>
        <v>175.7083333</v>
      </c>
      <c r="Q28" s="72">
        <f t="shared" si="2"/>
        <v>108.1343403</v>
      </c>
      <c r="R28" s="72">
        <f t="shared" si="2"/>
        <v>142.24375</v>
      </c>
      <c r="S28" s="72">
        <f t="shared" si="2"/>
        <v>175.6520833</v>
      </c>
      <c r="T28" s="72">
        <f t="shared" si="2"/>
        <v>99.77166667</v>
      </c>
      <c r="U28" s="72">
        <f t="shared" si="2"/>
        <v>209.1354167</v>
      </c>
      <c r="V28" s="72">
        <f t="shared" si="2"/>
        <v>186.921875</v>
      </c>
      <c r="W28" s="72">
        <f t="shared" si="2"/>
        <v>103.6510417</v>
      </c>
      <c r="X28" s="72">
        <f t="shared" si="2"/>
        <v>145.5958333</v>
      </c>
      <c r="Y28" s="30"/>
      <c r="AC28" s="92"/>
      <c r="AD28" s="92"/>
      <c r="AE28" s="92"/>
      <c r="AF28" s="92"/>
      <c r="AG28" s="92"/>
    </row>
    <row r="29" ht="14.25" customHeight="1">
      <c r="A29" s="70" t="s">
        <v>128</v>
      </c>
      <c r="B29" s="73">
        <v>185.0</v>
      </c>
      <c r="C29" s="73">
        <v>541.0</v>
      </c>
      <c r="D29" s="73">
        <v>206.0</v>
      </c>
      <c r="E29" s="73">
        <v>0.0</v>
      </c>
      <c r="F29" s="73">
        <v>418.0</v>
      </c>
      <c r="G29" s="73">
        <v>257.0</v>
      </c>
      <c r="H29" s="73">
        <v>312.0</v>
      </c>
      <c r="I29" s="73">
        <v>153.0</v>
      </c>
      <c r="J29" s="72">
        <v>291.0</v>
      </c>
      <c r="K29" s="72">
        <v>0.0</v>
      </c>
      <c r="L29" s="72">
        <v>303.0</v>
      </c>
      <c r="M29" s="72">
        <v>35.0</v>
      </c>
      <c r="N29" s="72">
        <v>126.0</v>
      </c>
      <c r="O29" s="72">
        <v>204.0</v>
      </c>
      <c r="P29" s="72">
        <f>SUM(P23+P16+P14)</f>
        <v>304.5</v>
      </c>
      <c r="Q29" s="72">
        <v>0.0</v>
      </c>
      <c r="R29" s="72">
        <v>188.0</v>
      </c>
      <c r="S29" s="72">
        <v>265.0</v>
      </c>
      <c r="T29" s="72">
        <v>0.0</v>
      </c>
      <c r="U29" s="72">
        <v>376.0</v>
      </c>
      <c r="V29" s="72">
        <v>371.0</v>
      </c>
      <c r="W29" s="72">
        <v>0.0</v>
      </c>
      <c r="X29" s="72">
        <v>67.0</v>
      </c>
      <c r="Y29" s="30"/>
      <c r="AC29" s="92"/>
      <c r="AD29" s="92"/>
      <c r="AE29" s="92"/>
      <c r="AF29" s="92"/>
      <c r="AG29" s="92"/>
    </row>
    <row r="30" ht="14.25" customHeight="1">
      <c r="A30" s="70" t="s">
        <v>129</v>
      </c>
      <c r="B30" s="73">
        <v>0.0</v>
      </c>
      <c r="C30" s="73">
        <v>300.0</v>
      </c>
      <c r="D30" s="73">
        <v>0.0</v>
      </c>
      <c r="E30" s="73">
        <v>0.0</v>
      </c>
      <c r="F30" s="73">
        <v>300.0</v>
      </c>
      <c r="G30" s="73">
        <v>0.0</v>
      </c>
      <c r="H30" s="73">
        <v>0.0</v>
      </c>
      <c r="I30" s="73">
        <v>0.0</v>
      </c>
      <c r="J30" s="72">
        <v>0.0</v>
      </c>
      <c r="K30" s="72">
        <v>0.0</v>
      </c>
      <c r="L30" s="72">
        <v>300.0</v>
      </c>
      <c r="M30" s="72">
        <v>0.0</v>
      </c>
      <c r="N30" s="72">
        <v>0.0</v>
      </c>
      <c r="O30" s="72">
        <v>0.0</v>
      </c>
      <c r="P30" s="72">
        <v>300.0</v>
      </c>
      <c r="Q30" s="72">
        <v>0.0</v>
      </c>
      <c r="R30" s="72">
        <v>0.0</v>
      </c>
      <c r="S30" s="72">
        <v>0.0</v>
      </c>
      <c r="T30" s="72">
        <v>0.0</v>
      </c>
      <c r="U30" s="72">
        <v>300.0</v>
      </c>
      <c r="V30" s="72">
        <v>300.0</v>
      </c>
      <c r="W30" s="72">
        <v>0.0</v>
      </c>
      <c r="X30" s="72">
        <v>0.0</v>
      </c>
      <c r="Y30" s="30"/>
      <c r="AC30" s="92"/>
      <c r="AD30" s="92"/>
      <c r="AE30" s="92"/>
      <c r="AF30" s="92"/>
      <c r="AG30" s="92"/>
    </row>
    <row r="31" ht="14.25" customHeight="1">
      <c r="A31" s="66" t="s">
        <v>130</v>
      </c>
      <c r="B31" s="147">
        <f t="shared" ref="B31:X31" si="3">B27-B29+B30</f>
        <v>5352</v>
      </c>
      <c r="C31" s="147">
        <f t="shared" si="3"/>
        <v>6171.5</v>
      </c>
      <c r="D31" s="147">
        <f t="shared" si="3"/>
        <v>4856</v>
      </c>
      <c r="E31" s="147">
        <f t="shared" si="3"/>
        <v>4056.5</v>
      </c>
      <c r="F31" s="147">
        <f t="shared" si="3"/>
        <v>5446.65</v>
      </c>
      <c r="G31" s="147">
        <f t="shared" si="3"/>
        <v>5078.8125</v>
      </c>
      <c r="H31" s="147">
        <f t="shared" si="3"/>
        <v>3543.5</v>
      </c>
      <c r="I31" s="147">
        <f t="shared" si="3"/>
        <v>3571.32619</v>
      </c>
      <c r="J31" s="147">
        <f t="shared" si="3"/>
        <v>3874</v>
      </c>
      <c r="K31" s="147">
        <f t="shared" si="3"/>
        <v>2002.5</v>
      </c>
      <c r="L31" s="147">
        <f t="shared" si="3"/>
        <v>3439.4</v>
      </c>
      <c r="M31" s="147">
        <f t="shared" si="3"/>
        <v>2057</v>
      </c>
      <c r="N31" s="147">
        <f t="shared" si="3"/>
        <v>2503</v>
      </c>
      <c r="O31" s="147">
        <f t="shared" si="3"/>
        <v>3353</v>
      </c>
      <c r="P31" s="147">
        <f t="shared" si="3"/>
        <v>4212.5</v>
      </c>
      <c r="Q31" s="147">
        <f t="shared" si="3"/>
        <v>2595.224167</v>
      </c>
      <c r="R31" s="147">
        <f t="shared" si="3"/>
        <v>3225.85</v>
      </c>
      <c r="S31" s="147">
        <f t="shared" si="3"/>
        <v>3950.65</v>
      </c>
      <c r="T31" s="147">
        <f t="shared" si="3"/>
        <v>2394.52</v>
      </c>
      <c r="U31" s="147">
        <f t="shared" si="3"/>
        <v>4943.25</v>
      </c>
      <c r="V31" s="147">
        <f t="shared" si="3"/>
        <v>4415.125</v>
      </c>
      <c r="W31" s="147">
        <f t="shared" si="3"/>
        <v>2487.625</v>
      </c>
      <c r="X31" s="147">
        <f t="shared" si="3"/>
        <v>3427.3</v>
      </c>
      <c r="Y31" s="69"/>
      <c r="Z31" s="69"/>
      <c r="AA31" s="69"/>
      <c r="AB31" s="69"/>
      <c r="AC31" s="121"/>
      <c r="AD31" s="121"/>
      <c r="AE31" s="121"/>
      <c r="AF31" s="121"/>
      <c r="AG31" s="121"/>
      <c r="AH31" s="69"/>
      <c r="AI31" s="69"/>
    </row>
    <row r="32" ht="14.25" customHeight="1">
      <c r="A32" s="79" t="s">
        <v>131</v>
      </c>
      <c r="B32" s="79">
        <f>RANK(B31,B31:I31)</f>
        <v>3</v>
      </c>
      <c r="C32" s="79">
        <f>RANK(C31,B31:I31)</f>
        <v>1</v>
      </c>
      <c r="D32" s="79">
        <f>RANK(D31,B31:I31)</f>
        <v>5</v>
      </c>
      <c r="E32" s="79">
        <f>RANK(E31,B31:I31)</f>
        <v>6</v>
      </c>
      <c r="F32" s="79">
        <f>RANK(F31,B31:I31)</f>
        <v>2</v>
      </c>
      <c r="G32" s="79">
        <f>RANK(G31,B31:I31)</f>
        <v>4</v>
      </c>
      <c r="H32" s="79">
        <f>RANK(H31,B31:I31)</f>
        <v>8</v>
      </c>
      <c r="I32" s="79">
        <f>RANK(I31,B31:I31)</f>
        <v>7</v>
      </c>
      <c r="J32" s="148">
        <f>RANK(J31,J31:X31)</f>
        <v>5</v>
      </c>
      <c r="K32" s="148">
        <f>RANK(K31,J31:X31)</f>
        <v>15</v>
      </c>
      <c r="L32" s="148">
        <f>RANK(L31,J31:X31)</f>
        <v>6</v>
      </c>
      <c r="M32" s="148">
        <f>RANK(M31,J31:X31)</f>
        <v>14</v>
      </c>
      <c r="N32" s="148">
        <f>RANK(N31,J31:X31)</f>
        <v>11</v>
      </c>
      <c r="O32" s="148">
        <f>RANK(O31,J31:X31)</f>
        <v>8</v>
      </c>
      <c r="P32" s="148">
        <f>RANK(P31,J31:X31)</f>
        <v>3</v>
      </c>
      <c r="Q32" s="148">
        <f>RANK(Q31,J31:X31)</f>
        <v>10</v>
      </c>
      <c r="R32" s="148">
        <f>RANK(R31,J31:X31)</f>
        <v>9</v>
      </c>
      <c r="S32" s="148">
        <f>RANK(S31,J31:X31)</f>
        <v>4</v>
      </c>
      <c r="T32" s="148">
        <f>RANK(T31,J31:X31)</f>
        <v>13</v>
      </c>
      <c r="U32" s="148">
        <f>RANK(U31,J31:X31)</f>
        <v>1</v>
      </c>
      <c r="V32" s="148">
        <f>RANK(V31,J31:X31)</f>
        <v>2</v>
      </c>
      <c r="W32" s="148">
        <f>RANK(W31,J31:X31)</f>
        <v>12</v>
      </c>
      <c r="X32" s="148">
        <f>RANK(X31,J31:X31)</f>
        <v>7</v>
      </c>
      <c r="Y32" s="69"/>
      <c r="Z32" s="69"/>
      <c r="AA32" s="69"/>
      <c r="AB32" s="69"/>
      <c r="AC32" s="121"/>
      <c r="AD32" s="121"/>
      <c r="AE32" s="121"/>
      <c r="AF32" s="121"/>
      <c r="AG32" s="121"/>
      <c r="AH32" s="69"/>
      <c r="AI32" s="69"/>
    </row>
    <row r="33" ht="14.25" customHeight="1">
      <c r="A33" s="70" t="s">
        <v>132</v>
      </c>
      <c r="B33" s="77">
        <v>0.0</v>
      </c>
      <c r="C33" s="77">
        <v>0.0</v>
      </c>
      <c r="D33" s="77">
        <v>0.0</v>
      </c>
      <c r="E33" s="77">
        <v>0.0</v>
      </c>
      <c r="F33" s="77">
        <v>0.0</v>
      </c>
      <c r="G33" s="77">
        <v>0.0</v>
      </c>
      <c r="H33" s="77">
        <v>0.0</v>
      </c>
      <c r="I33" s="77">
        <v>0.0</v>
      </c>
      <c r="J33" s="124">
        <v>80.0</v>
      </c>
      <c r="K33" s="124">
        <v>1050.0</v>
      </c>
      <c r="L33" s="124">
        <v>0.0</v>
      </c>
      <c r="M33" s="124">
        <v>550.0</v>
      </c>
      <c r="N33" s="124">
        <v>300.0</v>
      </c>
      <c r="O33" s="124">
        <v>0.0</v>
      </c>
      <c r="P33" s="124">
        <v>0.0</v>
      </c>
      <c r="Q33" s="124">
        <v>0.0</v>
      </c>
      <c r="R33" s="124">
        <v>0.0</v>
      </c>
      <c r="S33" s="124">
        <v>50.0</v>
      </c>
      <c r="T33" s="124">
        <v>100.0</v>
      </c>
      <c r="U33" s="124">
        <v>0.0</v>
      </c>
      <c r="V33" s="124">
        <v>0.0</v>
      </c>
      <c r="W33" s="124">
        <v>0.0</v>
      </c>
      <c r="X33" s="124">
        <v>60.0</v>
      </c>
      <c r="Y33" s="30"/>
      <c r="Z33" s="30"/>
      <c r="AC33" s="92"/>
      <c r="AD33" s="92"/>
      <c r="AE33" s="92"/>
      <c r="AF33" s="92"/>
      <c r="AG33" s="92"/>
    </row>
    <row r="34" ht="14.25" customHeight="1">
      <c r="A34" s="70" t="s">
        <v>133</v>
      </c>
      <c r="B34" s="77">
        <v>0.0</v>
      </c>
      <c r="C34" s="77">
        <v>0.0</v>
      </c>
      <c r="D34" s="77">
        <v>200.0</v>
      </c>
      <c r="E34" s="77">
        <v>300.0</v>
      </c>
      <c r="F34" s="77">
        <v>0.0</v>
      </c>
      <c r="G34" s="77">
        <v>100.0</v>
      </c>
      <c r="H34" s="77">
        <v>500.0</v>
      </c>
      <c r="I34" s="77">
        <v>400.0</v>
      </c>
      <c r="J34" s="124">
        <v>100.0</v>
      </c>
      <c r="K34" s="124">
        <v>600.0</v>
      </c>
      <c r="L34" s="124">
        <v>150.0</v>
      </c>
      <c r="M34" s="124">
        <v>550.0</v>
      </c>
      <c r="N34" s="124">
        <v>400.0</v>
      </c>
      <c r="O34" s="124">
        <v>250.0</v>
      </c>
      <c r="P34" s="124">
        <v>0.0</v>
      </c>
      <c r="Q34" s="124">
        <v>350.0</v>
      </c>
      <c r="R34" s="124">
        <v>300.0</v>
      </c>
      <c r="S34" s="124">
        <v>50.0</v>
      </c>
      <c r="T34" s="124">
        <v>500.0</v>
      </c>
      <c r="U34" s="124">
        <v>0.0</v>
      </c>
      <c r="V34" s="124">
        <v>0.0</v>
      </c>
      <c r="W34" s="124">
        <v>450.0</v>
      </c>
      <c r="X34" s="124">
        <v>200.0</v>
      </c>
      <c r="Y34" s="30"/>
      <c r="Z34" s="30"/>
      <c r="AA34" s="79"/>
      <c r="AB34" s="79"/>
      <c r="AC34" s="125"/>
      <c r="AD34" s="92"/>
      <c r="AE34" s="92"/>
      <c r="AF34" s="92"/>
      <c r="AG34" s="92"/>
    </row>
    <row r="35" ht="14.25" customHeight="1">
      <c r="A35" s="83" t="s">
        <v>134</v>
      </c>
      <c r="B35" s="149">
        <f t="shared" ref="B35:X35" si="4">SUM(B33:B34)</f>
        <v>0</v>
      </c>
      <c r="C35" s="149">
        <f t="shared" si="4"/>
        <v>0</v>
      </c>
      <c r="D35" s="149">
        <f t="shared" si="4"/>
        <v>200</v>
      </c>
      <c r="E35" s="149">
        <f t="shared" si="4"/>
        <v>300</v>
      </c>
      <c r="F35" s="149">
        <f t="shared" si="4"/>
        <v>0</v>
      </c>
      <c r="G35" s="149">
        <f t="shared" si="4"/>
        <v>100</v>
      </c>
      <c r="H35" s="149">
        <f t="shared" si="4"/>
        <v>500</v>
      </c>
      <c r="I35" s="149">
        <f t="shared" si="4"/>
        <v>400</v>
      </c>
      <c r="J35" s="149">
        <f t="shared" si="4"/>
        <v>180</v>
      </c>
      <c r="K35" s="149">
        <f t="shared" si="4"/>
        <v>1650</v>
      </c>
      <c r="L35" s="149">
        <f t="shared" si="4"/>
        <v>150</v>
      </c>
      <c r="M35" s="149">
        <f t="shared" si="4"/>
        <v>1100</v>
      </c>
      <c r="N35" s="149">
        <f t="shared" si="4"/>
        <v>700</v>
      </c>
      <c r="O35" s="149">
        <f t="shared" si="4"/>
        <v>250</v>
      </c>
      <c r="P35" s="149">
        <f t="shared" si="4"/>
        <v>0</v>
      </c>
      <c r="Q35" s="149">
        <f t="shared" si="4"/>
        <v>350</v>
      </c>
      <c r="R35" s="149">
        <f t="shared" si="4"/>
        <v>300</v>
      </c>
      <c r="S35" s="149">
        <f t="shared" si="4"/>
        <v>100</v>
      </c>
      <c r="T35" s="149">
        <f t="shared" si="4"/>
        <v>600</v>
      </c>
      <c r="U35" s="149">
        <f t="shared" si="4"/>
        <v>0</v>
      </c>
      <c r="V35" s="149">
        <f t="shared" si="4"/>
        <v>0</v>
      </c>
      <c r="W35" s="149">
        <f t="shared" si="4"/>
        <v>450</v>
      </c>
      <c r="X35" s="149">
        <f t="shared" si="4"/>
        <v>260</v>
      </c>
      <c r="Y35" s="83"/>
      <c r="Z35" s="83"/>
      <c r="AA35" s="80" t="s">
        <v>135</v>
      </c>
      <c r="AB35" s="84">
        <f>SUM(B35:X35)</f>
        <v>7590</v>
      </c>
      <c r="AC35" s="126"/>
      <c r="AD35" s="126"/>
      <c r="AE35" s="126"/>
      <c r="AF35" s="126"/>
      <c r="AG35" s="126"/>
      <c r="AH35" s="83"/>
      <c r="AI35" s="83"/>
    </row>
    <row r="36" ht="14.25" customHeight="1">
      <c r="A36" s="69"/>
      <c r="B36" s="30"/>
      <c r="C36" s="30"/>
      <c r="D36" s="57"/>
      <c r="E36" s="30"/>
      <c r="F36" s="57"/>
      <c r="G36" s="57"/>
      <c r="H36" s="57"/>
      <c r="I36" s="30"/>
      <c r="J36" s="30"/>
      <c r="K36" s="30"/>
      <c r="L36" s="30"/>
      <c r="M36" s="30"/>
      <c r="N36" s="30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30"/>
      <c r="Z36" s="30"/>
      <c r="AA36" s="30"/>
      <c r="AB36" s="30"/>
      <c r="AC36" s="127"/>
      <c r="AD36" s="92"/>
      <c r="AE36" s="92"/>
      <c r="AF36" s="92"/>
      <c r="AG36" s="92"/>
    </row>
    <row r="37" ht="14.25" customHeight="1">
      <c r="D37" s="57"/>
      <c r="E37" s="30"/>
      <c r="F37" s="57"/>
      <c r="G37" s="57"/>
      <c r="H37" s="57"/>
      <c r="I37" s="30"/>
      <c r="L37" s="30"/>
      <c r="M37" s="30"/>
      <c r="N37" s="30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30"/>
      <c r="Z37" s="30"/>
      <c r="AA37" s="30"/>
      <c r="AB37" s="30"/>
      <c r="AC37" s="92"/>
      <c r="AD37" s="92"/>
      <c r="AE37" s="92"/>
      <c r="AF37" s="92"/>
      <c r="AG37" s="92"/>
      <c r="AH37" s="30"/>
      <c r="AI37" s="30"/>
    </row>
    <row r="38" ht="14.25" customHeight="1">
      <c r="D38" s="30"/>
      <c r="E38" s="30"/>
      <c r="F38" s="30"/>
      <c r="G38" s="30"/>
      <c r="H38" s="30"/>
      <c r="I38" s="30"/>
      <c r="L38" s="30"/>
      <c r="M38" s="69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92"/>
      <c r="AD38" s="92"/>
      <c r="AE38" s="92"/>
      <c r="AF38" s="92"/>
      <c r="AG38" s="92"/>
      <c r="AH38" s="30"/>
      <c r="AI38" s="30"/>
    </row>
    <row r="39" ht="14.25" customHeight="1">
      <c r="D39" s="30"/>
      <c r="E39" s="30"/>
      <c r="F39" s="30"/>
      <c r="G39" s="30"/>
      <c r="H39" s="30"/>
      <c r="I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92"/>
      <c r="AD39" s="92"/>
      <c r="AE39" s="92"/>
      <c r="AF39" s="92"/>
      <c r="AG39" s="92"/>
      <c r="AH39" s="30"/>
      <c r="AI39" s="30"/>
    </row>
    <row r="40" ht="14.25" customHeight="1">
      <c r="D40" s="30"/>
      <c r="E40" s="30"/>
      <c r="F40" s="30"/>
      <c r="G40" s="30"/>
      <c r="H40" s="30"/>
      <c r="I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92"/>
      <c r="AD40" s="92"/>
      <c r="AE40" s="92"/>
      <c r="AF40" s="92"/>
      <c r="AG40" s="92"/>
      <c r="AH40" s="30"/>
      <c r="AI40" s="30"/>
    </row>
    <row r="41" ht="14.25" customHeight="1">
      <c r="D41" s="30"/>
      <c r="E41" s="30"/>
      <c r="F41" s="30"/>
      <c r="G41" s="30"/>
      <c r="H41" s="30"/>
      <c r="I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92"/>
      <c r="AD41" s="92"/>
      <c r="AE41" s="92"/>
      <c r="AF41" s="92"/>
      <c r="AG41" s="92"/>
      <c r="AH41" s="30"/>
      <c r="AI41" s="30"/>
    </row>
    <row r="42" ht="14.25" customHeight="1">
      <c r="D42" s="30"/>
      <c r="E42" s="30"/>
      <c r="F42" s="30"/>
      <c r="G42" s="30"/>
      <c r="H42" s="30"/>
      <c r="I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92"/>
      <c r="AD42" s="92"/>
      <c r="AE42" s="92"/>
      <c r="AF42" s="92"/>
      <c r="AG42" s="92"/>
      <c r="AH42" s="30"/>
      <c r="AI42" s="30"/>
    </row>
    <row r="43" ht="14.25" customHeight="1">
      <c r="D43" s="30"/>
      <c r="E43" s="30"/>
      <c r="F43" s="30"/>
      <c r="G43" s="30"/>
      <c r="H43" s="30"/>
      <c r="I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92"/>
      <c r="AD43" s="92"/>
      <c r="AE43" s="92"/>
      <c r="AF43" s="92"/>
      <c r="AG43" s="92"/>
      <c r="AH43" s="30"/>
      <c r="AI43" s="30"/>
    </row>
    <row r="44" ht="14.25" customHeight="1">
      <c r="D44" s="30"/>
      <c r="E44" s="30"/>
      <c r="F44" s="30"/>
      <c r="G44" s="30"/>
      <c r="H44" s="30"/>
      <c r="I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92"/>
      <c r="AD44" s="92"/>
      <c r="AE44" s="92"/>
      <c r="AF44" s="92"/>
      <c r="AG44" s="92"/>
      <c r="AH44" s="30"/>
      <c r="AI44" s="30"/>
    </row>
    <row r="45" ht="14.25" customHeight="1">
      <c r="D45" s="30"/>
      <c r="E45" s="30"/>
      <c r="F45" s="30"/>
      <c r="G45" s="30"/>
      <c r="H45" s="30"/>
      <c r="I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92"/>
      <c r="AD45" s="92"/>
      <c r="AE45" s="92"/>
      <c r="AF45" s="92"/>
      <c r="AG45" s="92"/>
      <c r="AH45" s="30"/>
      <c r="AI45" s="30"/>
    </row>
    <row r="46" ht="14.25" customHeight="1">
      <c r="D46" s="30"/>
      <c r="E46" s="30"/>
      <c r="F46" s="30"/>
      <c r="G46" s="30"/>
      <c r="H46" s="30"/>
      <c r="I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92"/>
      <c r="AD46" s="92"/>
      <c r="AE46" s="92"/>
      <c r="AF46" s="92"/>
      <c r="AG46" s="92"/>
      <c r="AH46" s="30"/>
      <c r="AI46" s="30"/>
    </row>
    <row r="47" ht="14.25" customHeight="1">
      <c r="D47" s="30"/>
      <c r="E47" s="30"/>
      <c r="F47" s="30"/>
      <c r="G47" s="30"/>
      <c r="H47" s="30"/>
      <c r="I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92"/>
      <c r="AD47" s="92"/>
      <c r="AE47" s="92"/>
      <c r="AF47" s="92"/>
      <c r="AG47" s="92"/>
      <c r="AH47" s="30"/>
      <c r="AI47" s="30"/>
    </row>
    <row r="48" ht="14.25" customHeight="1">
      <c r="D48" s="30"/>
      <c r="E48" s="30"/>
      <c r="F48" s="30"/>
      <c r="G48" s="30"/>
      <c r="H48" s="30"/>
      <c r="I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92"/>
      <c r="AD48" s="92"/>
      <c r="AE48" s="92"/>
      <c r="AF48" s="92"/>
      <c r="AG48" s="92"/>
      <c r="AH48" s="30"/>
      <c r="AI48" s="30"/>
    </row>
    <row r="49" ht="14.25" customHeight="1">
      <c r="D49" s="30"/>
      <c r="E49" s="30"/>
      <c r="F49" s="30"/>
      <c r="G49" s="30"/>
      <c r="H49" s="30"/>
      <c r="I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92"/>
      <c r="AD49" s="92"/>
      <c r="AE49" s="92"/>
      <c r="AF49" s="92"/>
      <c r="AG49" s="92"/>
      <c r="AH49" s="30"/>
      <c r="AI49" s="30"/>
    </row>
    <row r="50" ht="14.25" customHeight="1">
      <c r="D50" s="30"/>
      <c r="E50" s="30"/>
      <c r="F50" s="30"/>
      <c r="G50" s="30"/>
      <c r="H50" s="30"/>
      <c r="I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92"/>
      <c r="AD50" s="92"/>
      <c r="AE50" s="92"/>
      <c r="AF50" s="92"/>
      <c r="AG50" s="92"/>
      <c r="AH50" s="30"/>
      <c r="AI50" s="30"/>
    </row>
    <row r="51" ht="14.25" customHeight="1">
      <c r="B51" s="48"/>
      <c r="C51" s="48"/>
      <c r="D51" s="30"/>
      <c r="E51" s="30"/>
      <c r="F51" s="30"/>
      <c r="G51" s="30"/>
      <c r="H51" s="30"/>
      <c r="I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92"/>
      <c r="AD51" s="92"/>
      <c r="AE51" s="92"/>
      <c r="AF51" s="92"/>
      <c r="AG51" s="92"/>
      <c r="AH51" s="30"/>
      <c r="AI51" s="30"/>
    </row>
    <row r="52" ht="14.25" customHeight="1">
      <c r="D52" s="30"/>
      <c r="E52" s="30"/>
      <c r="F52" s="30"/>
      <c r="G52" s="30"/>
      <c r="H52" s="30"/>
      <c r="I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92"/>
      <c r="AD52" s="92"/>
      <c r="AE52" s="92"/>
      <c r="AF52" s="92"/>
      <c r="AG52" s="92"/>
      <c r="AH52" s="30"/>
      <c r="AI52" s="30"/>
    </row>
    <row r="53" ht="14.25" customHeight="1">
      <c r="C53" s="48"/>
      <c r="D53" s="30"/>
      <c r="E53" s="30"/>
      <c r="F53" s="30"/>
      <c r="G53" s="30"/>
      <c r="H53" s="30"/>
      <c r="I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92"/>
      <c r="AD53" s="92"/>
      <c r="AE53" s="92"/>
      <c r="AF53" s="92"/>
      <c r="AG53" s="92"/>
      <c r="AH53" s="30"/>
      <c r="AI53" s="30"/>
    </row>
    <row r="54" ht="14.25" customHeight="1">
      <c r="D54" s="30"/>
      <c r="E54" s="30"/>
      <c r="F54" s="30"/>
      <c r="G54" s="30"/>
      <c r="H54" s="30"/>
      <c r="I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92"/>
      <c r="AD54" s="92"/>
      <c r="AE54" s="92"/>
      <c r="AF54" s="92"/>
      <c r="AG54" s="92"/>
      <c r="AH54" s="30"/>
      <c r="AI54" s="30"/>
    </row>
    <row r="55" ht="14.25" customHeight="1">
      <c r="D55" s="30"/>
      <c r="E55" s="30"/>
      <c r="F55" s="30"/>
      <c r="G55" s="30"/>
      <c r="H55" s="30"/>
      <c r="I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92"/>
      <c r="AD55" s="92"/>
      <c r="AE55" s="92"/>
      <c r="AF55" s="92"/>
      <c r="AG55" s="92"/>
      <c r="AH55" s="30"/>
      <c r="AI55" s="30"/>
    </row>
    <row r="56" ht="14.25" customHeight="1">
      <c r="D56" s="30"/>
      <c r="E56" s="30"/>
      <c r="F56" s="30"/>
      <c r="G56" s="30"/>
      <c r="H56" s="30"/>
      <c r="I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92"/>
      <c r="AD56" s="92"/>
      <c r="AE56" s="92"/>
      <c r="AF56" s="92"/>
      <c r="AG56" s="92"/>
      <c r="AH56" s="30"/>
      <c r="AI56" s="30"/>
    </row>
    <row r="57" ht="14.25" customHeight="1">
      <c r="D57" s="30"/>
      <c r="E57" s="30"/>
      <c r="F57" s="30"/>
      <c r="G57" s="30"/>
      <c r="H57" s="30"/>
      <c r="I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92"/>
      <c r="AD57" s="92"/>
      <c r="AE57" s="92"/>
      <c r="AF57" s="92"/>
      <c r="AG57" s="92"/>
      <c r="AH57" s="30"/>
      <c r="AI57" s="30"/>
    </row>
    <row r="58" ht="14.25" customHeight="1">
      <c r="D58" s="30"/>
      <c r="E58" s="30"/>
      <c r="F58" s="30"/>
      <c r="G58" s="30"/>
      <c r="H58" s="30"/>
      <c r="I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92"/>
      <c r="AD58" s="92"/>
      <c r="AE58" s="92"/>
      <c r="AF58" s="92"/>
      <c r="AG58" s="92"/>
      <c r="AH58" s="30"/>
      <c r="AI58" s="30"/>
    </row>
    <row r="59" ht="14.25" customHeight="1">
      <c r="D59" s="30"/>
      <c r="E59" s="30"/>
      <c r="F59" s="30"/>
      <c r="G59" s="30"/>
      <c r="H59" s="30"/>
      <c r="I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92"/>
      <c r="AD59" s="92"/>
      <c r="AE59" s="92"/>
      <c r="AF59" s="92"/>
      <c r="AG59" s="92"/>
      <c r="AH59" s="30"/>
      <c r="AI59" s="30"/>
    </row>
    <row r="60" ht="14.25" customHeight="1">
      <c r="D60" s="30"/>
      <c r="E60" s="30"/>
      <c r="F60" s="30"/>
      <c r="G60" s="30"/>
      <c r="H60" s="30"/>
      <c r="I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92"/>
      <c r="AD60" s="92"/>
      <c r="AE60" s="92"/>
      <c r="AF60" s="92"/>
      <c r="AG60" s="92"/>
      <c r="AH60" s="30"/>
      <c r="AI60" s="30"/>
    </row>
    <row r="61" ht="14.25" customHeight="1">
      <c r="D61" s="30"/>
      <c r="E61" s="30"/>
      <c r="F61" s="30"/>
      <c r="G61" s="30"/>
      <c r="H61" s="30"/>
      <c r="I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92"/>
      <c r="AD61" s="92"/>
      <c r="AE61" s="92"/>
      <c r="AF61" s="92"/>
      <c r="AG61" s="92"/>
      <c r="AH61" s="30"/>
      <c r="AI61" s="30"/>
    </row>
    <row r="62" ht="14.25" customHeight="1">
      <c r="A62" s="89"/>
      <c r="B62" s="89"/>
      <c r="C62" s="89"/>
      <c r="D62" s="30"/>
      <c r="E62" s="30"/>
      <c r="F62" s="30"/>
      <c r="G62" s="30"/>
      <c r="H62" s="30"/>
      <c r="I62" s="30"/>
      <c r="J62" s="30"/>
      <c r="K62" s="89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92"/>
      <c r="AD62" s="92"/>
      <c r="AE62" s="92"/>
      <c r="AF62" s="92"/>
      <c r="AG62" s="92"/>
      <c r="AH62" s="30"/>
      <c r="AI62" s="30"/>
    </row>
    <row r="63" ht="14.2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92"/>
      <c r="AD63" s="92"/>
      <c r="AE63" s="92"/>
      <c r="AF63" s="92"/>
      <c r="AG63" s="92"/>
      <c r="AH63" s="30"/>
      <c r="AI63" s="30"/>
    </row>
    <row r="64" ht="14.2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92"/>
      <c r="AD64" s="92"/>
      <c r="AE64" s="92"/>
      <c r="AF64" s="92"/>
      <c r="AG64" s="92"/>
      <c r="AH64" s="30"/>
      <c r="AI64" s="30"/>
    </row>
    <row r="65" ht="14.2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92"/>
      <c r="AD65" s="92"/>
      <c r="AE65" s="92"/>
      <c r="AF65" s="92"/>
      <c r="AG65" s="92"/>
      <c r="AH65" s="30"/>
      <c r="AI65" s="30"/>
    </row>
    <row r="66" ht="14.2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9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92"/>
      <c r="AD66" s="92"/>
      <c r="AE66" s="92"/>
      <c r="AF66" s="92"/>
      <c r="AG66" s="92"/>
    </row>
    <row r="67" ht="14.2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92"/>
      <c r="AD67" s="92"/>
      <c r="AE67" s="92"/>
      <c r="AF67" s="92"/>
      <c r="AG67" s="92"/>
    </row>
    <row r="68" ht="14.2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92"/>
      <c r="AD68" s="92"/>
      <c r="AE68" s="92"/>
      <c r="AF68" s="92"/>
      <c r="AG68" s="92"/>
    </row>
    <row r="69" ht="14.2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92"/>
      <c r="AD69" s="92"/>
      <c r="AE69" s="92"/>
      <c r="AF69" s="92"/>
      <c r="AG69" s="92"/>
    </row>
    <row r="70" ht="14.2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92"/>
      <c r="AD70" s="92"/>
      <c r="AE70" s="92"/>
      <c r="AF70" s="92"/>
      <c r="AG70" s="92"/>
    </row>
    <row r="71" ht="14.2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92"/>
      <c r="AD71" s="92"/>
      <c r="AE71" s="92"/>
      <c r="AF71" s="92"/>
      <c r="AG71" s="92"/>
    </row>
    <row r="72" ht="14.2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92"/>
      <c r="AD72" s="92"/>
      <c r="AE72" s="92"/>
      <c r="AF72" s="92"/>
      <c r="AG72" s="92"/>
    </row>
    <row r="73" ht="14.2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92"/>
      <c r="AD73" s="92"/>
      <c r="AE73" s="92"/>
      <c r="AF73" s="92"/>
      <c r="AG73" s="92"/>
    </row>
    <row r="74" ht="14.2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92"/>
      <c r="AD74" s="92"/>
      <c r="AE74" s="92"/>
      <c r="AF74" s="92"/>
      <c r="AG74" s="92"/>
    </row>
    <row r="75" ht="14.2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92"/>
      <c r="AD75" s="92"/>
      <c r="AE75" s="92"/>
      <c r="AF75" s="92"/>
      <c r="AG75" s="92"/>
    </row>
    <row r="76" ht="14.2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92"/>
      <c r="AD76" s="92"/>
      <c r="AE76" s="92"/>
      <c r="AF76" s="92"/>
      <c r="AG76" s="92"/>
    </row>
    <row r="77" ht="14.2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92"/>
      <c r="AD77" s="92"/>
      <c r="AE77" s="92"/>
      <c r="AF77" s="92"/>
      <c r="AG77" s="92"/>
    </row>
    <row r="78" ht="14.2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92"/>
      <c r="AD78" s="92"/>
      <c r="AE78" s="92"/>
      <c r="AF78" s="92"/>
      <c r="AG78" s="92"/>
    </row>
    <row r="79" ht="14.2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92"/>
      <c r="AD79" s="92"/>
      <c r="AE79" s="92"/>
      <c r="AF79" s="92"/>
      <c r="AG79" s="92"/>
    </row>
    <row r="80" ht="14.2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92"/>
      <c r="AD80" s="92"/>
      <c r="AE80" s="92"/>
      <c r="AF80" s="92"/>
      <c r="AG80" s="92"/>
    </row>
    <row r="81" ht="14.2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92"/>
      <c r="AD81" s="92"/>
      <c r="AE81" s="92"/>
      <c r="AF81" s="92"/>
      <c r="AG81" s="92"/>
    </row>
    <row r="82" ht="14.2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92"/>
      <c r="AD82" s="92"/>
      <c r="AE82" s="92"/>
      <c r="AF82" s="92"/>
      <c r="AG82" s="92"/>
    </row>
    <row r="83" ht="14.2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92"/>
      <c r="AD83" s="92"/>
      <c r="AE83" s="92"/>
      <c r="AF83" s="92"/>
      <c r="AG83" s="92"/>
    </row>
    <row r="84" ht="14.2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92"/>
      <c r="AD84" s="92"/>
      <c r="AE84" s="92"/>
      <c r="AF84" s="92"/>
      <c r="AG84" s="92"/>
    </row>
    <row r="85" ht="14.2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92"/>
      <c r="AD85" s="92"/>
      <c r="AE85" s="92"/>
      <c r="AF85" s="92"/>
      <c r="AG85" s="92"/>
    </row>
    <row r="86" ht="14.2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92"/>
      <c r="AD86" s="92"/>
      <c r="AE86" s="92"/>
      <c r="AF86" s="92"/>
      <c r="AG86" s="92"/>
    </row>
    <row r="87" ht="14.2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92"/>
      <c r="AD87" s="92"/>
      <c r="AE87" s="92"/>
      <c r="AF87" s="92"/>
      <c r="AG87" s="92"/>
    </row>
    <row r="88" ht="14.2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92"/>
      <c r="AD88" s="92"/>
      <c r="AE88" s="92"/>
      <c r="AF88" s="92"/>
      <c r="AG88" s="92"/>
    </row>
    <row r="89" ht="14.2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92"/>
      <c r="AD89" s="92"/>
      <c r="AE89" s="92"/>
      <c r="AF89" s="92"/>
      <c r="AG89" s="92"/>
    </row>
    <row r="90" ht="14.2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92"/>
      <c r="AD90" s="92"/>
      <c r="AE90" s="92"/>
      <c r="AF90" s="92"/>
      <c r="AG90" s="92"/>
    </row>
    <row r="91" ht="14.2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92"/>
      <c r="AD91" s="92"/>
      <c r="AE91" s="92"/>
      <c r="AF91" s="92"/>
      <c r="AG91" s="92"/>
    </row>
    <row r="92" ht="14.2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92"/>
      <c r="AD92" s="92"/>
      <c r="AE92" s="92"/>
      <c r="AF92" s="92"/>
      <c r="AG92" s="92"/>
    </row>
    <row r="93" ht="14.2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92"/>
      <c r="AD93" s="92"/>
      <c r="AE93" s="92"/>
      <c r="AF93" s="92"/>
      <c r="AG93" s="92"/>
    </row>
    <row r="94" ht="14.2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92"/>
      <c r="AD94" s="92"/>
      <c r="AE94" s="92"/>
      <c r="AF94" s="92"/>
      <c r="AG94" s="92"/>
    </row>
    <row r="95" ht="14.2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92"/>
      <c r="AD95" s="92"/>
      <c r="AE95" s="92"/>
      <c r="AF95" s="92"/>
      <c r="AG95" s="92"/>
    </row>
    <row r="96" ht="14.2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92"/>
      <c r="AD96" s="92"/>
      <c r="AE96" s="92"/>
      <c r="AF96" s="92"/>
      <c r="AG96" s="92"/>
    </row>
    <row r="97" ht="14.2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92"/>
      <c r="AD97" s="92"/>
      <c r="AE97" s="92"/>
      <c r="AF97" s="92"/>
      <c r="AG97" s="92"/>
    </row>
    <row r="98" ht="14.2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92"/>
      <c r="AD98" s="92"/>
      <c r="AE98" s="92"/>
      <c r="AF98" s="92"/>
      <c r="AG98" s="92"/>
    </row>
    <row r="99" ht="14.2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92"/>
      <c r="AD99" s="92"/>
      <c r="AE99" s="92"/>
      <c r="AF99" s="92"/>
      <c r="AG99" s="92"/>
    </row>
    <row r="100" ht="14.2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92"/>
      <c r="AD100" s="92"/>
      <c r="AE100" s="92"/>
      <c r="AF100" s="92"/>
      <c r="AG100" s="92"/>
    </row>
    <row r="101" ht="14.2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92"/>
      <c r="AD101" s="92"/>
      <c r="AE101" s="92"/>
      <c r="AF101" s="92"/>
      <c r="AG101" s="92"/>
    </row>
    <row r="102" ht="14.2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92"/>
      <c r="AD102" s="92"/>
      <c r="AE102" s="92"/>
      <c r="AF102" s="92"/>
      <c r="AG102" s="92"/>
    </row>
    <row r="103" ht="14.2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92"/>
      <c r="AD103" s="92"/>
      <c r="AE103" s="92"/>
      <c r="AF103" s="92"/>
      <c r="AG103" s="92"/>
    </row>
    <row r="104" ht="14.2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92"/>
      <c r="AD104" s="92"/>
      <c r="AE104" s="92"/>
      <c r="AF104" s="92"/>
      <c r="AG104" s="92"/>
    </row>
    <row r="105" ht="14.2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92"/>
      <c r="AD105" s="92"/>
      <c r="AE105" s="92"/>
      <c r="AF105" s="92"/>
      <c r="AG105" s="92"/>
    </row>
    <row r="106" ht="14.2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92"/>
      <c r="AD106" s="92"/>
      <c r="AE106" s="92"/>
      <c r="AF106" s="92"/>
      <c r="AG106" s="92"/>
    </row>
    <row r="107" ht="14.2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92"/>
      <c r="AD107" s="92"/>
      <c r="AE107" s="92"/>
      <c r="AF107" s="92"/>
      <c r="AG107" s="92"/>
    </row>
    <row r="108" ht="14.2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92"/>
      <c r="AD108" s="92"/>
      <c r="AE108" s="92"/>
      <c r="AF108" s="92"/>
      <c r="AG108" s="92"/>
    </row>
    <row r="109" ht="14.2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92"/>
      <c r="AD109" s="92"/>
      <c r="AE109" s="92"/>
      <c r="AF109" s="92"/>
      <c r="AG109" s="92"/>
    </row>
    <row r="110" ht="14.2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92"/>
      <c r="AD110" s="92"/>
      <c r="AE110" s="92"/>
      <c r="AF110" s="92"/>
      <c r="AG110" s="92"/>
    </row>
    <row r="111" ht="14.2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92"/>
      <c r="AD111" s="92"/>
      <c r="AE111" s="92"/>
      <c r="AF111" s="92"/>
      <c r="AG111" s="92"/>
    </row>
    <row r="112" ht="14.2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92"/>
      <c r="AD112" s="92"/>
      <c r="AE112" s="92"/>
      <c r="AF112" s="92"/>
      <c r="AG112" s="92"/>
    </row>
    <row r="113" ht="14.2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92"/>
      <c r="AD113" s="92"/>
      <c r="AE113" s="92"/>
      <c r="AF113" s="92"/>
      <c r="AG113" s="92"/>
    </row>
    <row r="114" ht="14.2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92"/>
      <c r="AD114" s="92"/>
      <c r="AE114" s="92"/>
      <c r="AF114" s="92"/>
      <c r="AG114" s="92"/>
    </row>
    <row r="115" ht="14.2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92"/>
      <c r="AD115" s="92"/>
      <c r="AE115" s="92"/>
      <c r="AF115" s="92"/>
      <c r="AG115" s="92"/>
    </row>
    <row r="116" ht="14.2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92"/>
      <c r="AD116" s="92"/>
      <c r="AE116" s="92"/>
      <c r="AF116" s="92"/>
      <c r="AG116" s="92"/>
    </row>
    <row r="117" ht="14.2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92"/>
      <c r="AD117" s="92"/>
      <c r="AE117" s="92"/>
      <c r="AF117" s="92"/>
      <c r="AG117" s="92"/>
    </row>
    <row r="118" ht="14.2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92"/>
      <c r="AD118" s="92"/>
      <c r="AE118" s="92"/>
      <c r="AF118" s="92"/>
      <c r="AG118" s="92"/>
    </row>
    <row r="119" ht="14.2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92"/>
      <c r="AD119" s="92"/>
      <c r="AE119" s="92"/>
      <c r="AF119" s="92"/>
      <c r="AG119" s="92"/>
    </row>
    <row r="120" ht="14.2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92"/>
      <c r="AD120" s="92"/>
      <c r="AE120" s="92"/>
      <c r="AF120" s="92"/>
      <c r="AG120" s="92"/>
    </row>
    <row r="121" ht="14.2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92"/>
      <c r="AD121" s="92"/>
      <c r="AE121" s="92"/>
      <c r="AF121" s="92"/>
      <c r="AG121" s="92"/>
    </row>
    <row r="122" ht="14.2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92"/>
      <c r="AD122" s="92"/>
      <c r="AE122" s="92"/>
      <c r="AF122" s="92"/>
      <c r="AG122" s="92"/>
    </row>
    <row r="123" ht="14.2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92"/>
      <c r="AD123" s="92"/>
      <c r="AE123" s="92"/>
      <c r="AF123" s="92"/>
      <c r="AG123" s="92"/>
    </row>
    <row r="124" ht="14.2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92"/>
      <c r="AD124" s="92"/>
      <c r="AE124" s="92"/>
      <c r="AF124" s="92"/>
      <c r="AG124" s="92"/>
    </row>
    <row r="125" ht="14.2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92"/>
      <c r="AD125" s="92"/>
      <c r="AE125" s="92"/>
      <c r="AF125" s="92"/>
      <c r="AG125" s="92"/>
    </row>
    <row r="126" ht="14.2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92"/>
      <c r="AD126" s="92"/>
      <c r="AE126" s="92"/>
      <c r="AF126" s="92"/>
      <c r="AG126" s="92"/>
    </row>
    <row r="127" ht="14.2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92"/>
      <c r="AD127" s="92"/>
      <c r="AE127" s="92"/>
      <c r="AF127" s="92"/>
      <c r="AG127" s="92"/>
    </row>
    <row r="128" ht="14.2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92"/>
      <c r="AD128" s="92"/>
      <c r="AE128" s="92"/>
      <c r="AF128" s="92"/>
      <c r="AG128" s="92"/>
    </row>
    <row r="129" ht="14.2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92"/>
      <c r="AD129" s="92"/>
      <c r="AE129" s="92"/>
      <c r="AF129" s="92"/>
      <c r="AG129" s="92"/>
    </row>
    <row r="130" ht="14.2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92"/>
      <c r="AD130" s="92"/>
      <c r="AE130" s="92"/>
      <c r="AF130" s="92"/>
      <c r="AG130" s="92"/>
    </row>
    <row r="131" ht="14.2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92"/>
      <c r="AD131" s="92"/>
      <c r="AE131" s="92"/>
      <c r="AF131" s="92"/>
      <c r="AG131" s="92"/>
    </row>
    <row r="132" ht="14.2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92"/>
      <c r="AD132" s="92"/>
      <c r="AE132" s="92"/>
      <c r="AF132" s="92"/>
      <c r="AG132" s="92"/>
    </row>
    <row r="133" ht="14.2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92"/>
      <c r="AD133" s="92"/>
      <c r="AE133" s="92"/>
      <c r="AF133" s="92"/>
      <c r="AG133" s="92"/>
    </row>
    <row r="134" ht="14.2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92"/>
      <c r="AD134" s="92"/>
      <c r="AE134" s="92"/>
      <c r="AF134" s="92"/>
      <c r="AG134" s="92"/>
    </row>
    <row r="135" ht="14.2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92"/>
      <c r="AD135" s="92"/>
      <c r="AE135" s="92"/>
      <c r="AF135" s="92"/>
      <c r="AG135" s="92"/>
    </row>
    <row r="136" ht="14.2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92"/>
      <c r="AD136" s="92"/>
      <c r="AE136" s="92"/>
      <c r="AF136" s="92"/>
      <c r="AG136" s="92"/>
    </row>
    <row r="137" ht="14.2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92"/>
      <c r="AD137" s="92"/>
      <c r="AE137" s="92"/>
      <c r="AF137" s="92"/>
      <c r="AG137" s="92"/>
    </row>
    <row r="138" ht="14.2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92"/>
      <c r="AD138" s="92"/>
      <c r="AE138" s="92"/>
      <c r="AF138" s="92"/>
      <c r="AG138" s="92"/>
    </row>
    <row r="139" ht="14.2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92"/>
      <c r="AD139" s="92"/>
      <c r="AE139" s="92"/>
      <c r="AF139" s="92"/>
      <c r="AG139" s="92"/>
    </row>
    <row r="140" ht="14.2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92"/>
      <c r="AD140" s="92"/>
      <c r="AE140" s="92"/>
      <c r="AF140" s="92"/>
      <c r="AG140" s="92"/>
    </row>
    <row r="141" ht="14.2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92"/>
      <c r="AD141" s="92"/>
      <c r="AE141" s="92"/>
      <c r="AF141" s="92"/>
      <c r="AG141" s="92"/>
    </row>
    <row r="142" ht="14.2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92"/>
      <c r="AD142" s="92"/>
      <c r="AE142" s="92"/>
      <c r="AF142" s="92"/>
      <c r="AG142" s="92"/>
    </row>
    <row r="143" ht="14.2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92"/>
      <c r="AD143" s="92"/>
      <c r="AE143" s="92"/>
      <c r="AF143" s="92"/>
      <c r="AG143" s="92"/>
    </row>
    <row r="144" ht="14.2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92"/>
      <c r="AD144" s="92"/>
      <c r="AE144" s="92"/>
      <c r="AF144" s="92"/>
      <c r="AG144" s="92"/>
    </row>
    <row r="145" ht="14.2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92"/>
      <c r="AD145" s="92"/>
      <c r="AE145" s="92"/>
      <c r="AF145" s="92"/>
      <c r="AG145" s="92"/>
    </row>
    <row r="146" ht="14.2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92"/>
      <c r="AD146" s="92"/>
      <c r="AE146" s="92"/>
      <c r="AF146" s="92"/>
      <c r="AG146" s="92"/>
    </row>
    <row r="147" ht="14.2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92"/>
      <c r="AD147" s="92"/>
      <c r="AE147" s="92"/>
      <c r="AF147" s="92"/>
      <c r="AG147" s="92"/>
    </row>
    <row r="148" ht="14.2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92"/>
      <c r="AD148" s="92"/>
      <c r="AE148" s="92"/>
      <c r="AF148" s="92"/>
      <c r="AG148" s="92"/>
    </row>
    <row r="149" ht="14.2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92"/>
      <c r="AD149" s="92"/>
      <c r="AE149" s="92"/>
      <c r="AF149" s="92"/>
      <c r="AG149" s="92"/>
    </row>
    <row r="150" ht="14.2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92"/>
      <c r="AD150" s="92"/>
      <c r="AE150" s="92"/>
      <c r="AF150" s="92"/>
      <c r="AG150" s="92"/>
    </row>
    <row r="151" ht="14.2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92"/>
      <c r="AD151" s="92"/>
      <c r="AE151" s="92"/>
      <c r="AF151" s="92"/>
      <c r="AG151" s="92"/>
    </row>
    <row r="152" ht="14.2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92"/>
      <c r="AD152" s="92"/>
      <c r="AE152" s="92"/>
      <c r="AF152" s="92"/>
      <c r="AG152" s="92"/>
    </row>
    <row r="153" ht="14.2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92"/>
      <c r="AD153" s="92"/>
      <c r="AE153" s="92"/>
      <c r="AF153" s="92"/>
      <c r="AG153" s="92"/>
    </row>
    <row r="154" ht="14.2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92"/>
      <c r="AD154" s="92"/>
      <c r="AE154" s="92"/>
      <c r="AF154" s="92"/>
      <c r="AG154" s="92"/>
    </row>
    <row r="155" ht="14.2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92"/>
      <c r="AD155" s="92"/>
      <c r="AE155" s="92"/>
      <c r="AF155" s="92"/>
      <c r="AG155" s="92"/>
    </row>
    <row r="156" ht="14.2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92"/>
      <c r="AD156" s="92"/>
      <c r="AE156" s="92"/>
      <c r="AF156" s="92"/>
      <c r="AG156" s="92"/>
    </row>
    <row r="157" ht="14.2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92"/>
      <c r="AD157" s="92"/>
      <c r="AE157" s="92"/>
      <c r="AF157" s="92"/>
      <c r="AG157" s="92"/>
    </row>
    <row r="158" ht="14.2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92"/>
      <c r="AD158" s="92"/>
      <c r="AE158" s="92"/>
      <c r="AF158" s="92"/>
      <c r="AG158" s="92"/>
    </row>
    <row r="159" ht="14.2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92"/>
      <c r="AD159" s="92"/>
      <c r="AE159" s="92"/>
      <c r="AF159" s="92"/>
      <c r="AG159" s="92"/>
    </row>
    <row r="160" ht="14.2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92"/>
      <c r="AD160" s="92"/>
      <c r="AE160" s="92"/>
      <c r="AF160" s="92"/>
      <c r="AG160" s="92"/>
    </row>
    <row r="161" ht="14.2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92"/>
      <c r="AD161" s="92"/>
      <c r="AE161" s="92"/>
      <c r="AF161" s="92"/>
      <c r="AG161" s="92"/>
    </row>
    <row r="162" ht="14.2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92"/>
      <c r="AD162" s="92"/>
      <c r="AE162" s="92"/>
      <c r="AF162" s="92"/>
      <c r="AG162" s="92"/>
    </row>
    <row r="163" ht="14.2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92"/>
      <c r="AD163" s="92"/>
      <c r="AE163" s="92"/>
      <c r="AF163" s="92"/>
      <c r="AG163" s="92"/>
    </row>
    <row r="164" ht="14.2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92"/>
      <c r="AD164" s="92"/>
      <c r="AE164" s="92"/>
      <c r="AF164" s="92"/>
      <c r="AG164" s="92"/>
    </row>
    <row r="165" ht="14.2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92"/>
      <c r="AD165" s="92"/>
      <c r="AE165" s="92"/>
      <c r="AF165" s="92"/>
      <c r="AG165" s="92"/>
    </row>
    <row r="166" ht="14.2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92"/>
      <c r="AD166" s="92"/>
      <c r="AE166" s="92"/>
      <c r="AF166" s="92"/>
      <c r="AG166" s="92"/>
    </row>
    <row r="167" ht="14.2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92"/>
      <c r="AD167" s="92"/>
      <c r="AE167" s="92"/>
      <c r="AF167" s="92"/>
      <c r="AG167" s="92"/>
    </row>
    <row r="168" ht="14.2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92"/>
      <c r="AD168" s="92"/>
      <c r="AE168" s="92"/>
      <c r="AF168" s="92"/>
      <c r="AG168" s="92"/>
    </row>
    <row r="169" ht="14.2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92"/>
      <c r="AD169" s="92"/>
      <c r="AE169" s="92"/>
      <c r="AF169" s="92"/>
      <c r="AG169" s="92"/>
    </row>
    <row r="170" ht="14.2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92"/>
      <c r="AD170" s="92"/>
      <c r="AE170" s="92"/>
      <c r="AF170" s="92"/>
      <c r="AG170" s="92"/>
    </row>
    <row r="171" ht="14.2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92"/>
      <c r="AD171" s="92"/>
      <c r="AE171" s="92"/>
      <c r="AF171" s="92"/>
      <c r="AG171" s="92"/>
    </row>
    <row r="172" ht="14.2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92"/>
      <c r="AD172" s="92"/>
      <c r="AE172" s="92"/>
      <c r="AF172" s="92"/>
      <c r="AG172" s="92"/>
    </row>
    <row r="173" ht="14.2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92"/>
      <c r="AD173" s="92"/>
      <c r="AE173" s="92"/>
      <c r="AF173" s="92"/>
      <c r="AG173" s="92"/>
    </row>
    <row r="174" ht="14.2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92"/>
      <c r="AD174" s="92"/>
      <c r="AE174" s="92"/>
      <c r="AF174" s="92"/>
      <c r="AG174" s="92"/>
    </row>
    <row r="175" ht="14.2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92"/>
      <c r="AD175" s="92"/>
      <c r="AE175" s="92"/>
      <c r="AF175" s="92"/>
      <c r="AG175" s="92"/>
    </row>
    <row r="176" ht="14.2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92"/>
      <c r="AD176" s="92"/>
      <c r="AE176" s="92"/>
      <c r="AF176" s="92"/>
      <c r="AG176" s="92"/>
    </row>
    <row r="177" ht="14.2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92"/>
      <c r="AD177" s="92"/>
      <c r="AE177" s="92"/>
      <c r="AF177" s="92"/>
      <c r="AG177" s="92"/>
    </row>
    <row r="178" ht="14.2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92"/>
      <c r="AD178" s="92"/>
      <c r="AE178" s="92"/>
      <c r="AF178" s="92"/>
      <c r="AG178" s="92"/>
    </row>
    <row r="179" ht="14.2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92"/>
      <c r="AD179" s="92"/>
      <c r="AE179" s="92"/>
      <c r="AF179" s="92"/>
      <c r="AG179" s="92"/>
    </row>
    <row r="180" ht="14.2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92"/>
      <c r="AD180" s="92"/>
      <c r="AE180" s="92"/>
      <c r="AF180" s="92"/>
      <c r="AG180" s="92"/>
    </row>
    <row r="181" ht="14.2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92"/>
      <c r="AD181" s="92"/>
      <c r="AE181" s="92"/>
      <c r="AF181" s="92"/>
      <c r="AG181" s="92"/>
    </row>
    <row r="182" ht="14.2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92"/>
      <c r="AD182" s="92"/>
      <c r="AE182" s="92"/>
      <c r="AF182" s="92"/>
      <c r="AG182" s="92"/>
    </row>
    <row r="183" ht="14.2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92"/>
      <c r="AD183" s="92"/>
      <c r="AE183" s="92"/>
      <c r="AF183" s="92"/>
      <c r="AG183" s="92"/>
    </row>
    <row r="184" ht="14.2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92"/>
      <c r="AD184" s="92"/>
      <c r="AE184" s="92"/>
      <c r="AF184" s="92"/>
      <c r="AG184" s="92"/>
    </row>
    <row r="185" ht="14.2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92"/>
      <c r="AD185" s="92"/>
      <c r="AE185" s="92"/>
      <c r="AF185" s="92"/>
      <c r="AG185" s="92"/>
    </row>
    <row r="186" ht="14.2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92"/>
      <c r="AD186" s="92"/>
      <c r="AE186" s="92"/>
      <c r="AF186" s="92"/>
      <c r="AG186" s="92"/>
    </row>
    <row r="187" ht="14.2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92"/>
      <c r="AD187" s="92"/>
      <c r="AE187" s="92"/>
      <c r="AF187" s="92"/>
      <c r="AG187" s="92"/>
    </row>
    <row r="188" ht="14.2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92"/>
      <c r="AD188" s="92"/>
      <c r="AE188" s="92"/>
      <c r="AF188" s="92"/>
      <c r="AG188" s="92"/>
    </row>
    <row r="189" ht="14.2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92"/>
      <c r="AD189" s="92"/>
      <c r="AE189" s="92"/>
      <c r="AF189" s="92"/>
      <c r="AG189" s="92"/>
    </row>
    <row r="190" ht="14.2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92"/>
      <c r="AD190" s="92"/>
      <c r="AE190" s="92"/>
      <c r="AF190" s="92"/>
      <c r="AG190" s="92"/>
    </row>
    <row r="191" ht="14.2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92"/>
      <c r="AD191" s="92"/>
      <c r="AE191" s="92"/>
      <c r="AF191" s="92"/>
      <c r="AG191" s="92"/>
    </row>
    <row r="192" ht="14.2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92"/>
      <c r="AD192" s="92"/>
      <c r="AE192" s="92"/>
      <c r="AF192" s="92"/>
      <c r="AG192" s="92"/>
    </row>
    <row r="193" ht="14.2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92"/>
      <c r="AD193" s="92"/>
      <c r="AE193" s="92"/>
      <c r="AF193" s="92"/>
      <c r="AG193" s="92"/>
    </row>
    <row r="194" ht="14.2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92"/>
      <c r="AD194" s="92"/>
      <c r="AE194" s="92"/>
      <c r="AF194" s="92"/>
      <c r="AG194" s="92"/>
    </row>
    <row r="195" ht="14.2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92"/>
      <c r="AD195" s="92"/>
      <c r="AE195" s="92"/>
      <c r="AF195" s="92"/>
      <c r="AG195" s="92"/>
    </row>
    <row r="196" ht="14.2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92"/>
      <c r="AD196" s="92"/>
      <c r="AE196" s="92"/>
      <c r="AF196" s="92"/>
      <c r="AG196" s="92"/>
    </row>
    <row r="197" ht="14.2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92"/>
      <c r="AD197" s="92"/>
      <c r="AE197" s="92"/>
      <c r="AF197" s="92"/>
      <c r="AG197" s="92"/>
    </row>
    <row r="198" ht="14.2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92"/>
      <c r="AD198" s="92"/>
      <c r="AE198" s="92"/>
      <c r="AF198" s="92"/>
      <c r="AG198" s="92"/>
    </row>
    <row r="199" ht="14.2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92"/>
      <c r="AD199" s="92"/>
      <c r="AE199" s="92"/>
      <c r="AF199" s="92"/>
      <c r="AG199" s="92"/>
    </row>
    <row r="200" ht="14.2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92"/>
      <c r="AD200" s="92"/>
      <c r="AE200" s="92"/>
      <c r="AF200" s="92"/>
      <c r="AG200" s="92"/>
    </row>
    <row r="201" ht="14.2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92"/>
      <c r="AD201" s="92"/>
      <c r="AE201" s="92"/>
      <c r="AF201" s="92"/>
      <c r="AG201" s="92"/>
    </row>
    <row r="202" ht="14.2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92"/>
      <c r="AD202" s="92"/>
      <c r="AE202" s="92"/>
      <c r="AF202" s="92"/>
      <c r="AG202" s="92"/>
    </row>
    <row r="203" ht="14.2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92"/>
      <c r="AD203" s="92"/>
      <c r="AE203" s="92"/>
      <c r="AF203" s="92"/>
      <c r="AG203" s="92"/>
    </row>
    <row r="204" ht="14.2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92"/>
      <c r="AD204" s="92"/>
      <c r="AE204" s="92"/>
      <c r="AF204" s="92"/>
      <c r="AG204" s="92"/>
    </row>
    <row r="205" ht="14.2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92"/>
      <c r="AD205" s="92"/>
      <c r="AE205" s="92"/>
      <c r="AF205" s="92"/>
      <c r="AG205" s="92"/>
    </row>
    <row r="206" ht="14.2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92"/>
      <c r="AD206" s="92"/>
      <c r="AE206" s="92"/>
      <c r="AF206" s="92"/>
      <c r="AG206" s="92"/>
    </row>
    <row r="207" ht="14.2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92"/>
      <c r="AD207" s="92"/>
      <c r="AE207" s="92"/>
      <c r="AF207" s="92"/>
      <c r="AG207" s="92"/>
    </row>
    <row r="208" ht="14.2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92"/>
      <c r="AD208" s="92"/>
      <c r="AE208" s="92"/>
      <c r="AF208" s="92"/>
      <c r="AG208" s="92"/>
    </row>
    <row r="209" ht="14.2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92"/>
      <c r="AD209" s="92"/>
      <c r="AE209" s="92"/>
      <c r="AF209" s="92"/>
      <c r="AG209" s="92"/>
    </row>
    <row r="210" ht="14.2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92"/>
      <c r="AD210" s="92"/>
      <c r="AE210" s="92"/>
      <c r="AF210" s="92"/>
      <c r="AG210" s="92"/>
    </row>
    <row r="211" ht="14.2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92"/>
      <c r="AD211" s="92"/>
      <c r="AE211" s="92"/>
      <c r="AF211" s="92"/>
      <c r="AG211" s="92"/>
    </row>
    <row r="212" ht="14.2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92"/>
      <c r="AD212" s="92"/>
      <c r="AE212" s="92"/>
      <c r="AF212" s="92"/>
      <c r="AG212" s="92"/>
    </row>
    <row r="213" ht="14.2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92"/>
      <c r="AD213" s="92"/>
      <c r="AE213" s="92"/>
      <c r="AF213" s="92"/>
      <c r="AG213" s="92"/>
    </row>
    <row r="214" ht="14.2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92"/>
      <c r="AD214" s="92"/>
      <c r="AE214" s="92"/>
      <c r="AF214" s="92"/>
      <c r="AG214" s="92"/>
    </row>
    <row r="215" ht="14.2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92"/>
      <c r="AD215" s="92"/>
      <c r="AE215" s="92"/>
      <c r="AF215" s="92"/>
      <c r="AG215" s="92"/>
    </row>
    <row r="216" ht="14.2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92"/>
      <c r="AD216" s="92"/>
      <c r="AE216" s="92"/>
      <c r="AF216" s="92"/>
      <c r="AG216" s="92"/>
    </row>
    <row r="217" ht="14.2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92"/>
      <c r="AD217" s="92"/>
      <c r="AE217" s="92"/>
      <c r="AF217" s="92"/>
      <c r="AG217" s="92"/>
    </row>
    <row r="218" ht="14.2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92"/>
      <c r="AD218" s="92"/>
      <c r="AE218" s="92"/>
      <c r="AF218" s="92"/>
      <c r="AG218" s="92"/>
    </row>
    <row r="219" ht="14.2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92"/>
      <c r="AD219" s="92"/>
      <c r="AE219" s="92"/>
      <c r="AF219" s="92"/>
      <c r="AG219" s="92"/>
    </row>
    <row r="220" ht="14.2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92"/>
      <c r="AD220" s="92"/>
      <c r="AE220" s="92"/>
      <c r="AF220" s="92"/>
      <c r="AG220" s="92"/>
    </row>
    <row r="221" ht="14.2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92"/>
      <c r="AD221" s="92"/>
      <c r="AE221" s="92"/>
      <c r="AF221" s="92"/>
      <c r="AG221" s="92"/>
    </row>
    <row r="222" ht="14.2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92"/>
      <c r="AD222" s="92"/>
      <c r="AE222" s="92"/>
      <c r="AF222" s="92"/>
      <c r="AG222" s="92"/>
    </row>
    <row r="223" ht="14.2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92"/>
      <c r="AD223" s="92"/>
      <c r="AE223" s="92"/>
      <c r="AF223" s="92"/>
      <c r="AG223" s="92"/>
    </row>
    <row r="224" ht="14.2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92"/>
      <c r="AD224" s="92"/>
      <c r="AE224" s="92"/>
      <c r="AF224" s="92"/>
      <c r="AG224" s="92"/>
    </row>
    <row r="225" ht="14.2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92"/>
      <c r="AD225" s="92"/>
      <c r="AE225" s="92"/>
      <c r="AF225" s="92"/>
      <c r="AG225" s="92"/>
    </row>
    <row r="226" ht="14.2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92"/>
      <c r="AD226" s="92"/>
      <c r="AE226" s="92"/>
      <c r="AF226" s="92"/>
      <c r="AG226" s="92"/>
    </row>
    <row r="227" ht="14.2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92"/>
      <c r="AD227" s="92"/>
      <c r="AE227" s="92"/>
      <c r="AF227" s="92"/>
      <c r="AG227" s="92"/>
    </row>
    <row r="228" ht="14.2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92"/>
      <c r="AD228" s="92"/>
      <c r="AE228" s="92"/>
      <c r="AF228" s="92"/>
      <c r="AG228" s="92"/>
    </row>
    <row r="229" ht="14.2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92"/>
      <c r="AD229" s="92"/>
      <c r="AE229" s="92"/>
      <c r="AF229" s="92"/>
      <c r="AG229" s="92"/>
    </row>
    <row r="230" ht="14.2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92"/>
      <c r="AD230" s="92"/>
      <c r="AE230" s="92"/>
      <c r="AF230" s="92"/>
      <c r="AG230" s="92"/>
    </row>
    <row r="231" ht="14.2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92"/>
      <c r="AD231" s="92"/>
      <c r="AE231" s="92"/>
      <c r="AF231" s="92"/>
      <c r="AG231" s="92"/>
    </row>
    <row r="232" ht="14.2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92"/>
      <c r="AD232" s="92"/>
      <c r="AE232" s="92"/>
      <c r="AF232" s="92"/>
      <c r="AG232" s="92"/>
    </row>
    <row r="233" ht="14.2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92"/>
      <c r="AD233" s="92"/>
      <c r="AE233" s="92"/>
      <c r="AF233" s="92"/>
      <c r="AG233" s="92"/>
    </row>
    <row r="234" ht="15.75" customHeight="1">
      <c r="AC234" s="92"/>
      <c r="AD234" s="92"/>
      <c r="AE234" s="92"/>
      <c r="AF234" s="92"/>
      <c r="AG234" s="92"/>
    </row>
    <row r="235" ht="15.75" customHeight="1">
      <c r="AC235" s="92"/>
      <c r="AD235" s="92"/>
      <c r="AE235" s="92"/>
      <c r="AF235" s="92"/>
      <c r="AG235" s="92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I1"/>
    <mergeCell ref="J1:X1"/>
  </mergeCells>
  <printOptions/>
  <pageMargins bottom="0.787401575" footer="0.0" header="0.0" left="0.7" right="0.7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0" width="8.25"/>
    <col customWidth="1" min="21" max="21" width="2.75"/>
    <col customWidth="1" min="22" max="22" width="2.63"/>
    <col customWidth="1" min="23" max="23" width="19.13"/>
    <col customWidth="1" min="24" max="30" width="14.38"/>
  </cols>
  <sheetData>
    <row r="1" ht="14.25" customHeight="1">
      <c r="A1" s="51" t="s">
        <v>118</v>
      </c>
      <c r="B1" s="51" t="s">
        <v>167</v>
      </c>
      <c r="C1" s="51" t="s">
        <v>11</v>
      </c>
      <c r="D1" s="51" t="s">
        <v>2</v>
      </c>
      <c r="E1" s="51" t="s">
        <v>21</v>
      </c>
      <c r="F1" s="51" t="s">
        <v>12</v>
      </c>
      <c r="G1" s="51" t="s">
        <v>4</v>
      </c>
      <c r="H1" s="51" t="s">
        <v>20</v>
      </c>
      <c r="I1" s="51" t="s">
        <v>17</v>
      </c>
      <c r="J1" s="51" t="s">
        <v>8</v>
      </c>
      <c r="K1" s="51" t="s">
        <v>14</v>
      </c>
      <c r="L1" s="51" t="s">
        <v>7</v>
      </c>
      <c r="M1" s="51" t="s">
        <v>9</v>
      </c>
      <c r="N1" s="51" t="s">
        <v>3</v>
      </c>
      <c r="O1" s="51" t="s">
        <v>16</v>
      </c>
      <c r="P1" s="51" t="s">
        <v>15</v>
      </c>
      <c r="Q1" s="51" t="s">
        <v>1</v>
      </c>
      <c r="R1" s="51" t="s">
        <v>22</v>
      </c>
      <c r="S1" s="51" t="s">
        <v>10</v>
      </c>
      <c r="T1" s="51" t="s">
        <v>19</v>
      </c>
      <c r="U1" s="30"/>
      <c r="V1" s="30"/>
      <c r="W1" s="30"/>
    </row>
    <row r="2" ht="14.25" customHeight="1">
      <c r="A2" s="94">
        <v>0.0</v>
      </c>
      <c r="B2" s="57">
        <v>175.0</v>
      </c>
      <c r="C2" s="57">
        <v>206.3</v>
      </c>
      <c r="D2" s="57">
        <v>221.5</v>
      </c>
      <c r="E2" s="57">
        <v>78.5</v>
      </c>
      <c r="F2" s="57">
        <v>137.5</v>
      </c>
      <c r="G2" s="57">
        <v>205.0</v>
      </c>
      <c r="H2" s="57">
        <v>0.0</v>
      </c>
      <c r="I2" s="57">
        <v>105.0</v>
      </c>
      <c r="J2" s="57">
        <v>200.8</v>
      </c>
      <c r="K2" s="57">
        <v>80.0</v>
      </c>
      <c r="L2" s="57">
        <v>51.0</v>
      </c>
      <c r="M2" s="57">
        <v>204.0</v>
      </c>
      <c r="N2" s="57">
        <v>43.0</v>
      </c>
      <c r="O2" s="57">
        <v>94.0</v>
      </c>
      <c r="P2" s="57">
        <v>0.0</v>
      </c>
      <c r="Q2" s="57">
        <v>234.0</v>
      </c>
      <c r="R2" s="57">
        <v>105.0</v>
      </c>
      <c r="S2" s="57">
        <v>0.0</v>
      </c>
      <c r="T2" s="57">
        <v>66.0</v>
      </c>
      <c r="U2" s="30"/>
      <c r="V2" s="30"/>
      <c r="W2" s="30"/>
    </row>
    <row r="3" ht="14.25" customHeight="1">
      <c r="A3" s="94">
        <v>1.0</v>
      </c>
      <c r="B3" s="57">
        <v>291.0</v>
      </c>
      <c r="C3" s="57">
        <v>113.125</v>
      </c>
      <c r="D3" s="57">
        <v>201.0</v>
      </c>
      <c r="E3" s="57">
        <v>103.5</v>
      </c>
      <c r="F3" s="57">
        <v>156.0</v>
      </c>
      <c r="G3" s="132">
        <v>114.5</v>
      </c>
      <c r="H3" s="132">
        <v>17.0</v>
      </c>
      <c r="I3" s="57">
        <v>30.0</v>
      </c>
      <c r="J3" s="57">
        <v>223.5</v>
      </c>
      <c r="K3" s="57">
        <v>120.0</v>
      </c>
      <c r="L3" s="57">
        <v>150.0</v>
      </c>
      <c r="M3" s="57">
        <v>253.5</v>
      </c>
      <c r="N3" s="57">
        <v>172.0</v>
      </c>
      <c r="O3" s="150">
        <v>85.5</v>
      </c>
      <c r="P3" s="57">
        <v>135.25</v>
      </c>
      <c r="Q3" s="57">
        <v>213.25</v>
      </c>
      <c r="R3" s="57">
        <v>159.375</v>
      </c>
      <c r="S3" s="57">
        <v>121.875</v>
      </c>
      <c r="T3" s="57">
        <v>112.0</v>
      </c>
      <c r="U3" s="30"/>
      <c r="V3" s="30"/>
      <c r="W3" s="30"/>
    </row>
    <row r="4" ht="14.25" customHeight="1">
      <c r="A4" s="94">
        <v>2.0</v>
      </c>
      <c r="B4" s="57">
        <v>251.5</v>
      </c>
      <c r="C4" s="57">
        <v>140.625</v>
      </c>
      <c r="D4" s="57">
        <v>129.5</v>
      </c>
      <c r="E4" s="57">
        <v>101.5</v>
      </c>
      <c r="F4" s="57">
        <v>126.5</v>
      </c>
      <c r="G4" s="57">
        <v>197.5</v>
      </c>
      <c r="H4" s="132">
        <v>0.0</v>
      </c>
      <c r="I4" s="132">
        <v>0.0</v>
      </c>
      <c r="J4" s="57">
        <v>78.0</v>
      </c>
      <c r="K4" s="57">
        <v>120.0</v>
      </c>
      <c r="L4" s="57">
        <v>114.0</v>
      </c>
      <c r="M4" s="57">
        <v>201.0</v>
      </c>
      <c r="N4" s="57">
        <v>199.0</v>
      </c>
      <c r="O4" s="150">
        <v>90.0</v>
      </c>
      <c r="P4" s="57">
        <v>121.25</v>
      </c>
      <c r="Q4" s="57">
        <v>186.25</v>
      </c>
      <c r="R4" s="57">
        <v>165.625</v>
      </c>
      <c r="S4" s="132">
        <v>106.875</v>
      </c>
      <c r="T4" s="133">
        <v>36.0</v>
      </c>
      <c r="U4" s="30"/>
      <c r="V4" s="30"/>
      <c r="W4" s="30"/>
    </row>
    <row r="5" ht="14.25" customHeight="1">
      <c r="A5" s="94">
        <v>3.0</v>
      </c>
      <c r="B5" s="57">
        <v>203.5</v>
      </c>
      <c r="C5" s="57">
        <v>206.25</v>
      </c>
      <c r="D5" s="57">
        <v>206.0</v>
      </c>
      <c r="E5" s="57">
        <v>20.0</v>
      </c>
      <c r="F5" s="57">
        <v>148.0</v>
      </c>
      <c r="G5" s="57">
        <v>267.5</v>
      </c>
      <c r="H5" s="57">
        <v>102.5</v>
      </c>
      <c r="I5" s="57">
        <v>102.0</v>
      </c>
      <c r="J5" s="132">
        <v>62.5</v>
      </c>
      <c r="K5" s="57">
        <v>120.0</v>
      </c>
      <c r="L5" s="57">
        <v>103.5</v>
      </c>
      <c r="M5" s="57">
        <v>221.0</v>
      </c>
      <c r="N5" s="57">
        <v>198.0</v>
      </c>
      <c r="O5" s="57">
        <v>20.0</v>
      </c>
      <c r="P5" s="57">
        <v>127.5</v>
      </c>
      <c r="Q5" s="132">
        <v>153.125</v>
      </c>
      <c r="R5" s="132">
        <v>135.625</v>
      </c>
      <c r="S5" s="57">
        <v>108.75</v>
      </c>
      <c r="T5" s="57">
        <v>148.0</v>
      </c>
      <c r="U5" s="30"/>
      <c r="V5" s="30"/>
      <c r="W5" s="30"/>
    </row>
    <row r="6" ht="14.25" customHeight="1">
      <c r="A6" s="94">
        <v>4.0</v>
      </c>
      <c r="B6" s="57">
        <v>312.5</v>
      </c>
      <c r="C6" s="57">
        <v>196.875</v>
      </c>
      <c r="D6" s="57">
        <v>495.5</v>
      </c>
      <c r="E6" s="57">
        <v>241.5</v>
      </c>
      <c r="F6" s="57">
        <v>233.5</v>
      </c>
      <c r="G6" s="57">
        <v>373.5</v>
      </c>
      <c r="H6" s="57">
        <v>102.5</v>
      </c>
      <c r="I6" s="132">
        <v>0.0</v>
      </c>
      <c r="J6" s="57">
        <v>141.5</v>
      </c>
      <c r="K6" s="57">
        <v>185.0</v>
      </c>
      <c r="L6" s="57">
        <v>101.0</v>
      </c>
      <c r="M6" s="57">
        <v>233.0</v>
      </c>
      <c r="N6" s="132">
        <v>165.0</v>
      </c>
      <c r="O6" s="132">
        <v>0.0</v>
      </c>
      <c r="P6" s="57">
        <v>105.625</v>
      </c>
      <c r="Q6" s="57">
        <v>224.375</v>
      </c>
      <c r="R6" s="57">
        <v>194.375</v>
      </c>
      <c r="S6" s="57">
        <v>205.0</v>
      </c>
      <c r="T6" s="57">
        <v>112.0</v>
      </c>
      <c r="U6" s="30"/>
      <c r="V6" s="30"/>
      <c r="W6" s="30"/>
    </row>
    <row r="7" ht="14.25" customHeight="1">
      <c r="A7" s="94">
        <v>5.0</v>
      </c>
      <c r="B7" s="132">
        <v>157.0</v>
      </c>
      <c r="C7" s="132">
        <v>100.375</v>
      </c>
      <c r="D7" s="57">
        <v>300.0</v>
      </c>
      <c r="E7" s="141">
        <v>0.0</v>
      </c>
      <c r="F7" s="57">
        <v>120.5</v>
      </c>
      <c r="G7" s="57">
        <v>239.5</v>
      </c>
      <c r="H7" s="57">
        <v>101.0</v>
      </c>
      <c r="I7" s="57">
        <v>131.0</v>
      </c>
      <c r="J7" s="57">
        <v>191.0</v>
      </c>
      <c r="K7" s="57">
        <v>120.0</v>
      </c>
      <c r="L7" s="132">
        <v>100.0</v>
      </c>
      <c r="M7" s="57">
        <v>221.0</v>
      </c>
      <c r="N7" s="57">
        <v>219.0</v>
      </c>
      <c r="O7" s="57">
        <v>50.916666666666664</v>
      </c>
      <c r="P7" s="57">
        <v>123.875</v>
      </c>
      <c r="Q7" s="132">
        <v>132.875</v>
      </c>
      <c r="R7" s="57">
        <v>142.5</v>
      </c>
      <c r="S7" s="57">
        <v>122.5</v>
      </c>
      <c r="T7" s="132">
        <v>100.0</v>
      </c>
      <c r="U7" s="30"/>
      <c r="V7" s="30"/>
      <c r="W7" s="30"/>
    </row>
    <row r="8" ht="14.25" customHeight="1">
      <c r="A8" s="94">
        <v>6.0</v>
      </c>
      <c r="B8" s="57">
        <v>287.0</v>
      </c>
      <c r="C8" s="57">
        <v>116.25</v>
      </c>
      <c r="D8" s="57">
        <v>300.5</v>
      </c>
      <c r="E8" s="57">
        <v>101.0</v>
      </c>
      <c r="F8" s="57">
        <v>81.5</v>
      </c>
      <c r="G8" s="57">
        <v>309.0</v>
      </c>
      <c r="H8" s="57">
        <v>133.5</v>
      </c>
      <c r="I8" s="57">
        <v>150.0</v>
      </c>
      <c r="J8" s="57">
        <v>350.7</v>
      </c>
      <c r="K8" s="57">
        <v>132.0</v>
      </c>
      <c r="L8" s="57">
        <v>152.0</v>
      </c>
      <c r="M8" s="132">
        <v>118.0</v>
      </c>
      <c r="N8" s="57">
        <v>194.0</v>
      </c>
      <c r="O8" s="57">
        <v>159.46666666666667</v>
      </c>
      <c r="P8" s="57">
        <v>124.875</v>
      </c>
      <c r="Q8" s="57">
        <v>219.625</v>
      </c>
      <c r="R8" s="57">
        <v>140.625</v>
      </c>
      <c r="S8" s="57">
        <v>200.625</v>
      </c>
      <c r="T8" s="57">
        <v>196.0</v>
      </c>
      <c r="U8" s="30"/>
      <c r="V8" s="30"/>
      <c r="W8" s="30"/>
    </row>
    <row r="9" ht="14.25" customHeight="1">
      <c r="A9" s="94">
        <v>7.0</v>
      </c>
      <c r="B9" s="57">
        <v>311.0</v>
      </c>
      <c r="C9" s="57">
        <v>159.375</v>
      </c>
      <c r="D9" s="57">
        <v>364.5</v>
      </c>
      <c r="E9" s="57">
        <v>152.0</v>
      </c>
      <c r="F9" s="132">
        <v>0.0</v>
      </c>
      <c r="G9" s="57">
        <v>281.5</v>
      </c>
      <c r="H9" s="57">
        <v>100.5</v>
      </c>
      <c r="I9" s="57">
        <v>101.0</v>
      </c>
      <c r="J9" s="57">
        <v>143.5</v>
      </c>
      <c r="K9" s="57">
        <v>127.5</v>
      </c>
      <c r="L9" s="132">
        <v>41.0</v>
      </c>
      <c r="M9" s="57">
        <v>196.5</v>
      </c>
      <c r="N9" s="57">
        <v>307.0</v>
      </c>
      <c r="O9" s="57">
        <v>123.35000000000001</v>
      </c>
      <c r="P9" s="57">
        <v>124.0</v>
      </c>
      <c r="Q9" s="57">
        <v>188.75</v>
      </c>
      <c r="R9" s="132">
        <v>120.0</v>
      </c>
      <c r="S9" s="57">
        <v>161.875</v>
      </c>
      <c r="T9" s="57">
        <v>101.0</v>
      </c>
      <c r="U9" s="30"/>
      <c r="V9" s="30"/>
      <c r="W9" s="30"/>
    </row>
    <row r="10" ht="14.25" customHeight="1">
      <c r="A10" s="94">
        <v>8.0</v>
      </c>
      <c r="B10" s="57">
        <v>339.0</v>
      </c>
      <c r="C10" s="57">
        <v>196.875</v>
      </c>
      <c r="D10" s="57">
        <v>409.0</v>
      </c>
      <c r="E10" s="57">
        <v>144.0</v>
      </c>
      <c r="F10" s="132">
        <v>0.0</v>
      </c>
      <c r="G10" s="57">
        <v>377.5</v>
      </c>
      <c r="H10" s="57">
        <v>101.0</v>
      </c>
      <c r="I10" s="57">
        <v>138.0</v>
      </c>
      <c r="J10" s="57">
        <v>115.83333333333334</v>
      </c>
      <c r="K10" s="57">
        <v>164.0</v>
      </c>
      <c r="L10" s="57">
        <v>117.5</v>
      </c>
      <c r="M10" s="57">
        <v>214.0</v>
      </c>
      <c r="N10" s="57">
        <v>351.0</v>
      </c>
      <c r="O10" s="57">
        <v>118.9</v>
      </c>
      <c r="P10" s="57">
        <v>205.25</v>
      </c>
      <c r="Q10" s="57">
        <v>325.25</v>
      </c>
      <c r="R10" s="57">
        <v>223.75</v>
      </c>
      <c r="S10" s="57">
        <v>131.25</v>
      </c>
      <c r="T10" s="132">
        <v>100.0</v>
      </c>
      <c r="U10" s="30"/>
      <c r="V10" s="30"/>
      <c r="W10" s="30"/>
    </row>
    <row r="11" ht="14.25" customHeight="1">
      <c r="A11" s="94">
        <v>9.0</v>
      </c>
      <c r="B11" s="57">
        <v>311.0</v>
      </c>
      <c r="C11" s="57">
        <v>217.5</v>
      </c>
      <c r="D11" s="57">
        <v>111.0</v>
      </c>
      <c r="E11" s="57">
        <v>107.0</v>
      </c>
      <c r="F11" s="57">
        <v>112.0</v>
      </c>
      <c r="G11" s="57">
        <v>291.0</v>
      </c>
      <c r="H11" s="133">
        <v>47.0</v>
      </c>
      <c r="I11" s="57">
        <v>47.0</v>
      </c>
      <c r="J11" s="57">
        <v>226.0</v>
      </c>
      <c r="K11" s="132">
        <v>102.5</v>
      </c>
      <c r="L11" s="57">
        <v>161.0</v>
      </c>
      <c r="M11" s="57">
        <v>239.0</v>
      </c>
      <c r="N11" s="57">
        <v>225.0</v>
      </c>
      <c r="O11" s="150">
        <v>66.69999999999999</v>
      </c>
      <c r="P11" s="57">
        <v>121.0</v>
      </c>
      <c r="Q11" s="132">
        <v>161.375</v>
      </c>
      <c r="R11" s="57">
        <v>227.25</v>
      </c>
      <c r="S11" s="57">
        <v>153.75</v>
      </c>
      <c r="T11" s="57">
        <v>112.0</v>
      </c>
      <c r="U11" s="30"/>
      <c r="V11" s="30"/>
      <c r="W11" s="30"/>
    </row>
    <row r="12" ht="14.25" customHeight="1">
      <c r="A12" s="94">
        <v>10.0</v>
      </c>
      <c r="B12" s="57">
        <v>273.5</v>
      </c>
      <c r="C12" s="57">
        <v>159.375</v>
      </c>
      <c r="D12" s="57">
        <v>290.5</v>
      </c>
      <c r="E12" s="141">
        <v>0.0</v>
      </c>
      <c r="F12" s="57">
        <v>101.0</v>
      </c>
      <c r="G12" s="57">
        <v>148.5</v>
      </c>
      <c r="H12" s="57">
        <v>121.5</v>
      </c>
      <c r="I12" s="57">
        <v>112.0</v>
      </c>
      <c r="J12" s="57">
        <v>122.5</v>
      </c>
      <c r="K12" s="57">
        <v>130.0</v>
      </c>
      <c r="L12" s="57">
        <v>167.0</v>
      </c>
      <c r="M12" s="57">
        <v>246.0</v>
      </c>
      <c r="N12" s="57">
        <v>347.0</v>
      </c>
      <c r="O12" s="142">
        <v>86.55</v>
      </c>
      <c r="P12" s="57">
        <v>161.175</v>
      </c>
      <c r="Q12" s="57">
        <v>248.125</v>
      </c>
      <c r="R12" s="57">
        <v>220.625</v>
      </c>
      <c r="S12" s="57">
        <v>150.625</v>
      </c>
      <c r="T12" s="57">
        <v>100.65</v>
      </c>
      <c r="U12" s="30"/>
      <c r="V12" s="30"/>
      <c r="W12" s="30"/>
    </row>
    <row r="13" ht="14.25" customHeight="1">
      <c r="A13" s="94">
        <v>11.0</v>
      </c>
      <c r="B13" s="57">
        <v>262.0</v>
      </c>
      <c r="C13" s="57">
        <v>206.25</v>
      </c>
      <c r="D13" s="57">
        <v>252.0</v>
      </c>
      <c r="E13" s="151">
        <v>0.0</v>
      </c>
      <c r="F13" s="132">
        <v>101.0</v>
      </c>
      <c r="G13" s="57">
        <v>330.0</v>
      </c>
      <c r="H13" s="57">
        <v>101.0</v>
      </c>
      <c r="I13" s="57">
        <v>56.0</v>
      </c>
      <c r="J13" s="57">
        <v>224.0</v>
      </c>
      <c r="K13" s="57">
        <v>110.0</v>
      </c>
      <c r="L13" s="57">
        <v>280.5</v>
      </c>
      <c r="M13" s="57">
        <v>208.0</v>
      </c>
      <c r="N13" s="57">
        <v>202.0</v>
      </c>
      <c r="O13" s="57">
        <v>131.4</v>
      </c>
      <c r="P13" s="132">
        <v>102.5</v>
      </c>
      <c r="Q13" s="57">
        <v>235.25</v>
      </c>
      <c r="R13" s="57">
        <v>165.0</v>
      </c>
      <c r="S13" s="57">
        <v>146.25</v>
      </c>
      <c r="T13" s="57">
        <v>100.0</v>
      </c>
      <c r="U13" s="30"/>
      <c r="V13" s="30"/>
      <c r="W13" s="30"/>
    </row>
    <row r="14" ht="14.25" customHeight="1">
      <c r="A14" s="94">
        <v>12.0</v>
      </c>
      <c r="B14" s="57">
        <v>272.0</v>
      </c>
      <c r="C14" s="57">
        <v>196.875</v>
      </c>
      <c r="D14" s="57">
        <v>367.5</v>
      </c>
      <c r="E14" s="151">
        <v>0.0</v>
      </c>
      <c r="F14" s="57">
        <v>135.5</v>
      </c>
      <c r="G14" s="57">
        <v>295.0</v>
      </c>
      <c r="H14" s="57">
        <v>137.0</v>
      </c>
      <c r="I14" s="57">
        <v>101.0</v>
      </c>
      <c r="J14" s="57">
        <f>219+30</f>
        <v>249</v>
      </c>
      <c r="K14" s="132">
        <v>101.5</v>
      </c>
      <c r="L14" s="57">
        <v>127.5</v>
      </c>
      <c r="M14" s="57">
        <v>248.0</v>
      </c>
      <c r="N14" s="57">
        <v>309.0</v>
      </c>
      <c r="O14" s="57">
        <v>126.81</v>
      </c>
      <c r="P14" s="57">
        <v>194.625</v>
      </c>
      <c r="Q14" s="57">
        <v>223.5</v>
      </c>
      <c r="R14" s="132">
        <v>137.5</v>
      </c>
      <c r="S14" s="57">
        <v>171.25</v>
      </c>
      <c r="T14" s="57">
        <v>100.0</v>
      </c>
      <c r="U14" s="30"/>
      <c r="V14" s="30"/>
      <c r="W14" s="30"/>
    </row>
    <row r="15" ht="14.25" customHeight="1">
      <c r="A15" s="94">
        <v>13.0</v>
      </c>
      <c r="B15" s="57">
        <v>278.5</v>
      </c>
      <c r="C15" s="57">
        <v>113.125</v>
      </c>
      <c r="D15" s="151">
        <v>10.0</v>
      </c>
      <c r="E15" s="57">
        <v>101.0</v>
      </c>
      <c r="F15" s="57">
        <v>101.0</v>
      </c>
      <c r="G15" s="57">
        <v>355.5</v>
      </c>
      <c r="H15" s="57">
        <v>101.5</v>
      </c>
      <c r="I15" s="152">
        <v>20.0</v>
      </c>
      <c r="J15" s="57">
        <v>102.0</v>
      </c>
      <c r="K15" s="57">
        <v>105.5</v>
      </c>
      <c r="L15" s="57">
        <v>123.0</v>
      </c>
      <c r="M15" s="57">
        <v>316.0</v>
      </c>
      <c r="N15" s="57">
        <v>344.0</v>
      </c>
      <c r="O15" s="57">
        <v>107.75</v>
      </c>
      <c r="P15" s="151">
        <v>0.0</v>
      </c>
      <c r="Q15" s="57">
        <v>296.625</v>
      </c>
      <c r="R15" s="57">
        <v>208.625</v>
      </c>
      <c r="S15" s="57">
        <v>192.5</v>
      </c>
      <c r="T15" s="57">
        <v>101.0</v>
      </c>
      <c r="U15" s="30"/>
      <c r="V15" s="30"/>
      <c r="W15" s="30"/>
    </row>
    <row r="16" ht="14.25" customHeight="1">
      <c r="A16" s="94">
        <v>14.0</v>
      </c>
      <c r="B16" s="57">
        <v>258.5</v>
      </c>
      <c r="C16" s="132">
        <v>101.25</v>
      </c>
      <c r="D16" s="151">
        <v>0.0</v>
      </c>
      <c r="E16" s="57">
        <v>101.0</v>
      </c>
      <c r="F16" s="57">
        <v>122.5</v>
      </c>
      <c r="G16" s="57">
        <v>290.5</v>
      </c>
      <c r="H16" s="57">
        <v>208.0</v>
      </c>
      <c r="I16" s="57">
        <v>100.0</v>
      </c>
      <c r="J16" s="57">
        <v>115.0</v>
      </c>
      <c r="K16" s="132">
        <v>101.0</v>
      </c>
      <c r="L16" s="57">
        <v>209.5</v>
      </c>
      <c r="M16" s="57">
        <v>147.0</v>
      </c>
      <c r="N16" s="57">
        <v>396.0</v>
      </c>
      <c r="O16" s="57">
        <v>100.5</v>
      </c>
      <c r="P16" s="57">
        <v>114.275</v>
      </c>
      <c r="Q16" s="57">
        <v>306.0</v>
      </c>
      <c r="R16" s="57">
        <v>144.0</v>
      </c>
      <c r="S16" s="57">
        <v>189.75</v>
      </c>
      <c r="T16" s="57">
        <v>134.15</v>
      </c>
      <c r="U16" s="30"/>
      <c r="V16" s="30"/>
      <c r="W16" s="30"/>
    </row>
    <row r="17" ht="14.25" customHeight="1">
      <c r="A17" s="94">
        <v>15.0</v>
      </c>
      <c r="B17" s="132">
        <v>170.5</v>
      </c>
      <c r="C17" s="57">
        <v>165.625</v>
      </c>
      <c r="D17" s="151">
        <v>37.5</v>
      </c>
      <c r="E17" s="141">
        <v>39.5</v>
      </c>
      <c r="F17" s="57">
        <v>107.0</v>
      </c>
      <c r="G17" s="57">
        <v>265.0</v>
      </c>
      <c r="H17" s="57">
        <v>103.0</v>
      </c>
      <c r="I17" s="57">
        <v>101.0</v>
      </c>
      <c r="J17" s="57">
        <v>149.5</v>
      </c>
      <c r="K17" s="57">
        <v>120.0</v>
      </c>
      <c r="L17" s="57">
        <v>200.5</v>
      </c>
      <c r="M17" s="57">
        <v>149.0</v>
      </c>
      <c r="N17" s="57">
        <v>344.0</v>
      </c>
      <c r="O17" s="57">
        <v>200.65</v>
      </c>
      <c r="P17" s="57">
        <v>130.5</v>
      </c>
      <c r="Q17" s="57">
        <v>165.125</v>
      </c>
      <c r="R17" s="57">
        <v>235.625</v>
      </c>
      <c r="S17" s="57">
        <v>241.875</v>
      </c>
      <c r="T17" s="57">
        <v>160.81</v>
      </c>
      <c r="U17" s="57"/>
      <c r="V17" s="30"/>
      <c r="W17" s="30"/>
    </row>
    <row r="18" ht="14.25" customHeight="1">
      <c r="A18" s="94">
        <v>16.0</v>
      </c>
      <c r="B18" s="57">
        <v>382.0</v>
      </c>
      <c r="C18" s="57">
        <v>296.875</v>
      </c>
      <c r="D18" s="57">
        <v>107.5</v>
      </c>
      <c r="E18" s="57">
        <v>103.0</v>
      </c>
      <c r="F18" s="57">
        <v>121.0</v>
      </c>
      <c r="G18" s="57">
        <v>385.5</v>
      </c>
      <c r="H18" s="57">
        <v>112.0</v>
      </c>
      <c r="I18" s="57">
        <v>128.0</v>
      </c>
      <c r="J18" s="57">
        <v>105.0</v>
      </c>
      <c r="K18" s="57">
        <v>185.5</v>
      </c>
      <c r="L18" s="57">
        <v>169.5</v>
      </c>
      <c r="M18" s="57">
        <v>238.5</v>
      </c>
      <c r="N18" s="57">
        <v>227.0</v>
      </c>
      <c r="O18" s="57">
        <v>120.325</v>
      </c>
      <c r="P18" s="57">
        <v>246.125</v>
      </c>
      <c r="Q18" s="57">
        <v>370.625</v>
      </c>
      <c r="R18" s="57">
        <v>243.0</v>
      </c>
      <c r="S18" s="57">
        <v>223.125</v>
      </c>
      <c r="T18" s="57">
        <v>132.635</v>
      </c>
      <c r="U18" s="57"/>
      <c r="V18" s="30"/>
      <c r="W18" s="30"/>
    </row>
    <row r="19" ht="14.25" customHeight="1">
      <c r="A19" s="94">
        <v>17.0</v>
      </c>
      <c r="B19" s="57">
        <v>207.0</v>
      </c>
      <c r="C19" s="57">
        <v>121.25</v>
      </c>
      <c r="D19" s="150">
        <v>81.5</v>
      </c>
      <c r="E19" s="57">
        <v>101.5</v>
      </c>
      <c r="F19" s="57">
        <v>126.5</v>
      </c>
      <c r="G19" s="57">
        <v>230.0</v>
      </c>
      <c r="H19" s="57">
        <v>148.0</v>
      </c>
      <c r="I19" s="57">
        <v>100.0</v>
      </c>
      <c r="J19" s="57">
        <v>174.5</v>
      </c>
      <c r="K19" s="57">
        <v>150.0</v>
      </c>
      <c r="L19" s="57">
        <v>240.0</v>
      </c>
      <c r="M19" s="57">
        <v>149.0</v>
      </c>
      <c r="N19" s="57">
        <v>127.0</v>
      </c>
      <c r="O19" s="150">
        <v>85.85</v>
      </c>
      <c r="P19" s="57">
        <v>110.0</v>
      </c>
      <c r="Q19" s="57">
        <v>274.075</v>
      </c>
      <c r="R19" s="57">
        <v>231.875</v>
      </c>
      <c r="S19" s="57">
        <v>184.375</v>
      </c>
      <c r="T19" s="57">
        <v>100.21000000000001</v>
      </c>
      <c r="U19" s="30"/>
      <c r="V19" s="30"/>
      <c r="W19" s="30"/>
    </row>
    <row r="20" ht="14.25" customHeight="1">
      <c r="A20" s="94">
        <v>18.0</v>
      </c>
      <c r="B20" s="132">
        <v>101.0</v>
      </c>
      <c r="C20" s="57">
        <v>178.125</v>
      </c>
      <c r="D20" s="57">
        <v>149.5</v>
      </c>
      <c r="E20" s="57">
        <v>101.0</v>
      </c>
      <c r="F20" s="57">
        <v>202.5</v>
      </c>
      <c r="G20" s="57">
        <v>182.0</v>
      </c>
      <c r="H20" s="57">
        <v>101.0</v>
      </c>
      <c r="I20" s="57">
        <v>100.0</v>
      </c>
      <c r="J20" s="57">
        <v>261.0</v>
      </c>
      <c r="K20" s="57">
        <v>189.0</v>
      </c>
      <c r="L20" s="57">
        <v>150.0</v>
      </c>
      <c r="M20" s="132">
        <v>130.0</v>
      </c>
      <c r="N20" s="132">
        <v>149.0</v>
      </c>
      <c r="O20" s="57">
        <v>180.5</v>
      </c>
      <c r="P20" s="57">
        <v>139.25</v>
      </c>
      <c r="Q20" s="57">
        <v>216.25</v>
      </c>
      <c r="R20" s="57">
        <v>317.5</v>
      </c>
      <c r="S20" s="57">
        <v>126.25</v>
      </c>
      <c r="T20" s="57">
        <v>125.38999999999999</v>
      </c>
      <c r="U20" s="30"/>
      <c r="V20" s="30"/>
      <c r="W20" s="30"/>
    </row>
    <row r="21" ht="14.25" customHeight="1">
      <c r="A21" s="94">
        <v>19.0</v>
      </c>
      <c r="B21" s="57">
        <v>301.0</v>
      </c>
      <c r="C21" s="57">
        <v>117.5</v>
      </c>
      <c r="D21" s="57">
        <v>530.5</v>
      </c>
      <c r="E21" s="57">
        <v>110.0</v>
      </c>
      <c r="F21" s="57">
        <v>110.0</v>
      </c>
      <c r="G21" s="151">
        <v>87.5</v>
      </c>
      <c r="H21" s="57">
        <v>101.0</v>
      </c>
      <c r="I21" s="57">
        <v>120.0</v>
      </c>
      <c r="J21" s="57">
        <v>256.42857142857144</v>
      </c>
      <c r="K21" s="57">
        <v>113.0</v>
      </c>
      <c r="L21" s="57">
        <v>155.0</v>
      </c>
      <c r="M21" s="57">
        <v>166.0</v>
      </c>
      <c r="N21" s="132">
        <v>138.0</v>
      </c>
      <c r="O21" s="57">
        <v>38.5</v>
      </c>
      <c r="P21" s="57">
        <v>109.125</v>
      </c>
      <c r="Q21" s="57">
        <v>302.25</v>
      </c>
      <c r="R21" s="57">
        <v>338.0</v>
      </c>
      <c r="S21" s="57">
        <v>184.375</v>
      </c>
      <c r="T21" s="57">
        <v>118.6</v>
      </c>
      <c r="U21" s="30"/>
      <c r="V21" s="30"/>
      <c r="W21" s="30"/>
    </row>
    <row r="22" ht="14.25" customHeight="1">
      <c r="A22" s="94">
        <v>20.0</v>
      </c>
      <c r="B22" s="57">
        <v>320.0</v>
      </c>
      <c r="C22" s="132">
        <v>100.625</v>
      </c>
      <c r="D22" s="57">
        <v>476.0</v>
      </c>
      <c r="E22" s="57">
        <v>46.0</v>
      </c>
      <c r="F22" s="57">
        <v>121.0</v>
      </c>
      <c r="G22" s="151">
        <v>83.5</v>
      </c>
      <c r="H22" s="57">
        <v>113.0</v>
      </c>
      <c r="I22" s="57">
        <v>166.0</v>
      </c>
      <c r="J22" s="57">
        <v>201.0</v>
      </c>
      <c r="K22" s="57">
        <v>146.0</v>
      </c>
      <c r="L22" s="146">
        <v>72.5</v>
      </c>
      <c r="M22" s="57">
        <v>187.0</v>
      </c>
      <c r="N22" s="57">
        <v>278.0</v>
      </c>
      <c r="O22" s="57">
        <v>66.9</v>
      </c>
      <c r="P22" s="57">
        <v>108.125</v>
      </c>
      <c r="Q22" s="57">
        <v>236.475</v>
      </c>
      <c r="R22" s="57">
        <v>244.375</v>
      </c>
      <c r="S22" s="132">
        <v>106.25</v>
      </c>
      <c r="T22" s="57">
        <v>109.5</v>
      </c>
      <c r="U22" s="30"/>
      <c r="V22" s="59"/>
      <c r="W22" s="30" t="s">
        <v>120</v>
      </c>
    </row>
    <row r="23" ht="14.25" customHeight="1">
      <c r="A23" s="94">
        <v>21.0</v>
      </c>
      <c r="B23" s="57">
        <v>337.5</v>
      </c>
      <c r="C23" s="57">
        <v>196.875</v>
      </c>
      <c r="D23" s="57">
        <v>534.0</v>
      </c>
      <c r="E23" s="57">
        <v>103.0</v>
      </c>
      <c r="F23" s="57">
        <v>153.5</v>
      </c>
      <c r="G23" s="57">
        <v>232.5</v>
      </c>
      <c r="H23" s="57">
        <v>101.0</v>
      </c>
      <c r="I23" s="153">
        <v>54.0</v>
      </c>
      <c r="J23" s="57">
        <v>389.04999999999995</v>
      </c>
      <c r="K23" s="57">
        <v>191.0</v>
      </c>
      <c r="L23" s="57">
        <v>218.5</v>
      </c>
      <c r="M23" s="57">
        <v>142.0</v>
      </c>
      <c r="N23" s="57">
        <v>477.5</v>
      </c>
      <c r="O23" s="57">
        <v>158.98</v>
      </c>
      <c r="P23" s="132">
        <v>105.125</v>
      </c>
      <c r="Q23" s="57">
        <v>212.375</v>
      </c>
      <c r="R23" s="57">
        <v>222.375</v>
      </c>
      <c r="S23" s="57">
        <v>145.625</v>
      </c>
      <c r="T23" s="57">
        <v>102.04999999999998</v>
      </c>
      <c r="U23" s="30"/>
      <c r="V23" s="62"/>
      <c r="W23" s="30" t="s">
        <v>121</v>
      </c>
    </row>
    <row r="24" ht="14.25" customHeight="1">
      <c r="A24" s="94">
        <v>22.0</v>
      </c>
      <c r="B24" s="57">
        <v>314.0</v>
      </c>
      <c r="C24" s="57">
        <v>213.125</v>
      </c>
      <c r="D24" s="57">
        <v>387.5</v>
      </c>
      <c r="E24" s="57">
        <f>43+147</f>
        <v>190</v>
      </c>
      <c r="F24" s="57">
        <v>278.5</v>
      </c>
      <c r="G24" s="57">
        <v>144.0</v>
      </c>
      <c r="H24" s="142">
        <v>52.0</v>
      </c>
      <c r="I24" s="57">
        <v>155.0</v>
      </c>
      <c r="J24" s="57">
        <v>277.75</v>
      </c>
      <c r="K24" s="57">
        <v>128.0</v>
      </c>
      <c r="L24" s="57">
        <v>172.5</v>
      </c>
      <c r="M24" s="57">
        <v>190.0</v>
      </c>
      <c r="N24" s="57">
        <v>348.0</v>
      </c>
      <c r="O24" s="132">
        <v>0.0</v>
      </c>
      <c r="P24" s="57">
        <v>189.75</v>
      </c>
      <c r="Q24" s="57">
        <v>373.5</v>
      </c>
      <c r="R24" s="57">
        <v>235.375</v>
      </c>
      <c r="S24" s="132">
        <v>57.5</v>
      </c>
      <c r="T24" s="57">
        <v>117.54</v>
      </c>
      <c r="U24" s="30"/>
      <c r="V24" s="154"/>
      <c r="W24" s="30" t="s">
        <v>122</v>
      </c>
    </row>
    <row r="25" ht="14.25" customHeight="1">
      <c r="A25" s="94">
        <v>23.0</v>
      </c>
      <c r="B25" s="57">
        <v>418.5</v>
      </c>
      <c r="C25" s="57">
        <v>330.625</v>
      </c>
      <c r="D25" s="57">
        <v>620.0</v>
      </c>
      <c r="E25" s="57">
        <v>16.5</v>
      </c>
      <c r="F25" s="57">
        <v>125.33</v>
      </c>
      <c r="G25" s="57">
        <v>196.33</v>
      </c>
      <c r="H25" s="57">
        <v>131.0</v>
      </c>
      <c r="I25" s="151">
        <v>0.0</v>
      </c>
      <c r="J25" s="151">
        <v>10.0</v>
      </c>
      <c r="K25" s="57">
        <v>167.5</v>
      </c>
      <c r="L25" s="57">
        <v>218.0</v>
      </c>
      <c r="M25" s="132">
        <v>124.0</v>
      </c>
      <c r="N25" s="57">
        <v>236.33</v>
      </c>
      <c r="O25" s="151">
        <v>0.0</v>
      </c>
      <c r="P25" s="57">
        <v>141.625</v>
      </c>
      <c r="Q25" s="57">
        <v>216.875</v>
      </c>
      <c r="R25" s="57">
        <v>230.25</v>
      </c>
      <c r="S25" s="57">
        <v>116.875</v>
      </c>
      <c r="T25" s="57">
        <v>115.21000000000001</v>
      </c>
      <c r="U25" s="30"/>
      <c r="V25" s="64"/>
      <c r="W25" s="30" t="s">
        <v>123</v>
      </c>
    </row>
    <row r="26" ht="14.25" customHeight="1">
      <c r="A26" s="94" t="s">
        <v>202</v>
      </c>
      <c r="B26" s="57">
        <v>506.0</v>
      </c>
      <c r="C26" s="57">
        <v>225.625</v>
      </c>
      <c r="D26" s="57">
        <v>666.0</v>
      </c>
      <c r="E26" s="146">
        <v>0.0</v>
      </c>
      <c r="F26" s="132">
        <v>0.0</v>
      </c>
      <c r="G26" s="57">
        <v>336.5</v>
      </c>
      <c r="H26" s="57">
        <v>125.0</v>
      </c>
      <c r="I26" s="57">
        <v>170.0</v>
      </c>
      <c r="J26" s="151">
        <v>76.0</v>
      </c>
      <c r="K26" s="57">
        <v>213.0</v>
      </c>
      <c r="L26" s="57">
        <v>326.5</v>
      </c>
      <c r="M26" s="57">
        <v>145.0</v>
      </c>
      <c r="N26" s="57">
        <v>190.0</v>
      </c>
      <c r="O26" s="57">
        <v>119.14999999999999</v>
      </c>
      <c r="P26" s="57">
        <v>141.625</v>
      </c>
      <c r="Q26" s="57">
        <v>201.375</v>
      </c>
      <c r="R26" s="57">
        <v>258.125</v>
      </c>
      <c r="S26" s="57">
        <v>188.75</v>
      </c>
      <c r="T26" s="57">
        <v>168.14</v>
      </c>
      <c r="U26" s="30"/>
      <c r="V26" s="30"/>
      <c r="W26" s="30"/>
    </row>
    <row r="27" ht="14.25" customHeight="1">
      <c r="A27" s="66" t="s">
        <v>126</v>
      </c>
      <c r="B27" s="155">
        <f t="shared" ref="B27:T27" si="1">SUM(B2:B26)</f>
        <v>7040.5</v>
      </c>
      <c r="C27" s="155">
        <f t="shared" si="1"/>
        <v>4376.675</v>
      </c>
      <c r="D27" s="155">
        <f t="shared" si="1"/>
        <v>7248.5</v>
      </c>
      <c r="E27" s="155">
        <f t="shared" si="1"/>
        <v>2061.5</v>
      </c>
      <c r="F27" s="155">
        <f t="shared" si="1"/>
        <v>3021.83</v>
      </c>
      <c r="G27" s="155">
        <f t="shared" si="1"/>
        <v>6218.83</v>
      </c>
      <c r="H27" s="155">
        <f t="shared" si="1"/>
        <v>2461</v>
      </c>
      <c r="I27" s="155">
        <f t="shared" si="1"/>
        <v>2287</v>
      </c>
      <c r="J27" s="155">
        <f t="shared" si="1"/>
        <v>4446.061905</v>
      </c>
      <c r="K27" s="155">
        <f t="shared" si="1"/>
        <v>3422</v>
      </c>
      <c r="L27" s="155">
        <f t="shared" si="1"/>
        <v>3921.5</v>
      </c>
      <c r="M27" s="155">
        <f t="shared" si="1"/>
        <v>4886.5</v>
      </c>
      <c r="N27" s="155">
        <f t="shared" si="1"/>
        <v>6185.83</v>
      </c>
      <c r="O27" s="155">
        <f t="shared" si="1"/>
        <v>2332.698333</v>
      </c>
      <c r="P27" s="155">
        <f t="shared" si="1"/>
        <v>3182.45</v>
      </c>
      <c r="Q27" s="155">
        <f t="shared" si="1"/>
        <v>5917.3</v>
      </c>
      <c r="R27" s="155">
        <f t="shared" si="1"/>
        <v>5046.375</v>
      </c>
      <c r="S27" s="155">
        <f t="shared" si="1"/>
        <v>3737.875</v>
      </c>
      <c r="T27" s="155">
        <f t="shared" si="1"/>
        <v>2868.885</v>
      </c>
      <c r="U27" s="30"/>
    </row>
    <row r="28" ht="14.25" customHeight="1">
      <c r="A28" s="156" t="s">
        <v>127</v>
      </c>
      <c r="B28" s="157">
        <f t="shared" ref="B28:T28" si="2">AVERAGE(B2:B26)</f>
        <v>281.62</v>
      </c>
      <c r="C28" s="157">
        <f t="shared" si="2"/>
        <v>175.067</v>
      </c>
      <c r="D28" s="157">
        <f t="shared" si="2"/>
        <v>289.94</v>
      </c>
      <c r="E28" s="157">
        <f t="shared" si="2"/>
        <v>82.46</v>
      </c>
      <c r="F28" s="157">
        <f t="shared" si="2"/>
        <v>120.8732</v>
      </c>
      <c r="G28" s="157">
        <f t="shared" si="2"/>
        <v>248.7532</v>
      </c>
      <c r="H28" s="157">
        <f t="shared" si="2"/>
        <v>98.44</v>
      </c>
      <c r="I28" s="157">
        <f t="shared" si="2"/>
        <v>91.48</v>
      </c>
      <c r="J28" s="157">
        <f t="shared" si="2"/>
        <v>177.8424762</v>
      </c>
      <c r="K28" s="157">
        <f t="shared" si="2"/>
        <v>136.88</v>
      </c>
      <c r="L28" s="157">
        <f t="shared" si="2"/>
        <v>156.86</v>
      </c>
      <c r="M28" s="157">
        <f t="shared" si="2"/>
        <v>195.46</v>
      </c>
      <c r="N28" s="157">
        <f t="shared" si="2"/>
        <v>247.4332</v>
      </c>
      <c r="O28" s="157">
        <f t="shared" si="2"/>
        <v>93.30793333</v>
      </c>
      <c r="P28" s="157">
        <f t="shared" si="2"/>
        <v>127.298</v>
      </c>
      <c r="Q28" s="157">
        <f t="shared" si="2"/>
        <v>236.692</v>
      </c>
      <c r="R28" s="157">
        <f t="shared" si="2"/>
        <v>201.855</v>
      </c>
      <c r="S28" s="157">
        <f t="shared" si="2"/>
        <v>149.515</v>
      </c>
      <c r="T28" s="157">
        <f t="shared" si="2"/>
        <v>114.7554</v>
      </c>
      <c r="U28" s="30"/>
      <c r="V28" s="30"/>
      <c r="W28" s="30"/>
    </row>
    <row r="29" ht="14.25" customHeight="1">
      <c r="A29" s="156" t="s">
        <v>128</v>
      </c>
      <c r="B29" s="157">
        <f>SUM(B20+B7+B17)</f>
        <v>428.5</v>
      </c>
      <c r="C29" s="157">
        <f>SUM(C22+C16+C7)</f>
        <v>302.25</v>
      </c>
      <c r="D29" s="157">
        <v>47.5</v>
      </c>
      <c r="E29" s="157">
        <v>0.0</v>
      </c>
      <c r="F29" s="157">
        <v>0.0</v>
      </c>
      <c r="G29" s="157">
        <f>SUM(G22+G21+G3)</f>
        <v>285.5</v>
      </c>
      <c r="H29" s="157">
        <v>64.0</v>
      </c>
      <c r="I29" s="157">
        <v>0.0</v>
      </c>
      <c r="J29" s="157">
        <f>SUM(J26+J25+J5)</f>
        <v>148.5</v>
      </c>
      <c r="K29" s="157">
        <f>SUM(K16+K14+K11)</f>
        <v>305</v>
      </c>
      <c r="L29" s="157">
        <f>SUM(L7+L9+L22)</f>
        <v>213.5</v>
      </c>
      <c r="M29" s="157">
        <f>SUM(M25+M20+M8)</f>
        <v>372</v>
      </c>
      <c r="N29" s="157">
        <f>SUM(N21+N20+N6)</f>
        <v>452</v>
      </c>
      <c r="O29" s="157">
        <v>0.0</v>
      </c>
      <c r="P29" s="157">
        <f>SUM(P23+P13)</f>
        <v>207.625</v>
      </c>
      <c r="Q29" s="157">
        <f>SUM(Q11+Q7+Q5)</f>
        <v>447.375</v>
      </c>
      <c r="R29" s="157">
        <f>SUM(R14+R9+R5)</f>
        <v>393.125</v>
      </c>
      <c r="S29" s="157">
        <f>SUM(S24+S22+S4)</f>
        <v>270.625</v>
      </c>
      <c r="T29" s="157">
        <f>SUM(T4+T7+T10)</f>
        <v>236</v>
      </c>
      <c r="U29" s="30"/>
      <c r="V29" s="30"/>
      <c r="W29" s="30"/>
    </row>
    <row r="30" ht="14.25" customHeight="1">
      <c r="A30" s="156" t="s">
        <v>129</v>
      </c>
      <c r="B30" s="158">
        <v>300.0</v>
      </c>
      <c r="C30" s="158">
        <v>300.0</v>
      </c>
      <c r="D30" s="158">
        <v>0.0</v>
      </c>
      <c r="E30" s="158">
        <v>0.0</v>
      </c>
      <c r="F30" s="158">
        <v>0.0</v>
      </c>
      <c r="G30" s="158">
        <v>0.0</v>
      </c>
      <c r="H30" s="158">
        <v>0.0</v>
      </c>
      <c r="I30" s="158">
        <v>0.0</v>
      </c>
      <c r="J30" s="158">
        <v>0.0</v>
      </c>
      <c r="K30" s="158">
        <v>300.0</v>
      </c>
      <c r="L30" s="158">
        <v>0.0</v>
      </c>
      <c r="M30" s="158">
        <v>300.0</v>
      </c>
      <c r="N30" s="158">
        <v>300.0</v>
      </c>
      <c r="O30" s="158">
        <v>0.0</v>
      </c>
      <c r="P30" s="158">
        <v>0.0</v>
      </c>
      <c r="Q30" s="158">
        <v>300.0</v>
      </c>
      <c r="R30" s="158">
        <v>300.0</v>
      </c>
      <c r="S30" s="158">
        <v>0.0</v>
      </c>
      <c r="T30" s="158">
        <v>0.0</v>
      </c>
      <c r="U30" s="30"/>
      <c r="V30" s="30"/>
      <c r="W30" s="30"/>
    </row>
    <row r="31" ht="14.25" customHeight="1">
      <c r="A31" s="66" t="s">
        <v>130</v>
      </c>
      <c r="B31" s="155">
        <f t="shared" ref="B31:T31" si="3">B27-B29+B30</f>
        <v>6912</v>
      </c>
      <c r="C31" s="155">
        <f t="shared" si="3"/>
        <v>4374.425</v>
      </c>
      <c r="D31" s="155">
        <f t="shared" si="3"/>
        <v>7201</v>
      </c>
      <c r="E31" s="155">
        <f t="shared" si="3"/>
        <v>2061.5</v>
      </c>
      <c r="F31" s="155">
        <f t="shared" si="3"/>
        <v>3021.83</v>
      </c>
      <c r="G31" s="155">
        <f t="shared" si="3"/>
        <v>5933.33</v>
      </c>
      <c r="H31" s="155">
        <f t="shared" si="3"/>
        <v>2397</v>
      </c>
      <c r="I31" s="155">
        <f t="shared" si="3"/>
        <v>2287</v>
      </c>
      <c r="J31" s="155">
        <f t="shared" si="3"/>
        <v>4297.561905</v>
      </c>
      <c r="K31" s="155">
        <f t="shared" si="3"/>
        <v>3417</v>
      </c>
      <c r="L31" s="155">
        <f t="shared" si="3"/>
        <v>3708</v>
      </c>
      <c r="M31" s="155">
        <f t="shared" si="3"/>
        <v>4814.5</v>
      </c>
      <c r="N31" s="155">
        <f t="shared" si="3"/>
        <v>6033.83</v>
      </c>
      <c r="O31" s="155">
        <f t="shared" si="3"/>
        <v>2332.698333</v>
      </c>
      <c r="P31" s="155">
        <f t="shared" si="3"/>
        <v>2974.825</v>
      </c>
      <c r="Q31" s="155">
        <f t="shared" si="3"/>
        <v>5769.925</v>
      </c>
      <c r="R31" s="155">
        <f t="shared" si="3"/>
        <v>4953.25</v>
      </c>
      <c r="S31" s="155">
        <f t="shared" si="3"/>
        <v>3467.25</v>
      </c>
      <c r="T31" s="155">
        <f t="shared" si="3"/>
        <v>2632.885</v>
      </c>
      <c r="U31" s="30"/>
      <c r="V31" s="30"/>
      <c r="W31" s="30"/>
    </row>
    <row r="32" ht="14.25" customHeight="1">
      <c r="A32" s="159" t="s">
        <v>131</v>
      </c>
      <c r="B32" s="160">
        <f>RANK(B31,B31:T31)</f>
        <v>2</v>
      </c>
      <c r="C32" s="160">
        <f>RANK(C31,B31:T31)</f>
        <v>8</v>
      </c>
      <c r="D32" s="160">
        <f>RANK(D31,B31:T31)</f>
        <v>1</v>
      </c>
      <c r="E32" s="160">
        <f>RANK(E31,B31:T31)</f>
        <v>19</v>
      </c>
      <c r="F32" s="160">
        <f>RANK(F31,B31:T31)</f>
        <v>13</v>
      </c>
      <c r="G32" s="160">
        <f>RANK(G31,B31:T31)</f>
        <v>4</v>
      </c>
      <c r="H32" s="160">
        <f>RANK(H31,B31:T31)</f>
        <v>16</v>
      </c>
      <c r="I32" s="160">
        <f>RANK(I31,B31:T31)</f>
        <v>18</v>
      </c>
      <c r="J32" s="160">
        <f>RANK(J31,B31:T31)</f>
        <v>9</v>
      </c>
      <c r="K32" s="160">
        <f>RANK(K31,B31:T31)</f>
        <v>12</v>
      </c>
      <c r="L32" s="160">
        <f>RANK(L31,B31:T31)</f>
        <v>10</v>
      </c>
      <c r="M32" s="160">
        <f>RANK(M31,B31:T31)</f>
        <v>7</v>
      </c>
      <c r="N32" s="160">
        <f>RANK(N31,B31:T31)</f>
        <v>3</v>
      </c>
      <c r="O32" s="160">
        <f>RANK(O31,B31:T31)</f>
        <v>17</v>
      </c>
      <c r="P32" s="160">
        <f>RANK(P31,B31:T31)</f>
        <v>14</v>
      </c>
      <c r="Q32" s="160">
        <f>RANK(Q31,B31:T31)</f>
        <v>5</v>
      </c>
      <c r="R32" s="160">
        <f>RANK(R31,B31:T31)</f>
        <v>6</v>
      </c>
      <c r="S32" s="160">
        <f>RANK(S31,B31:T31)</f>
        <v>11</v>
      </c>
      <c r="T32" s="160">
        <f>RANK(T31,B31:T31)</f>
        <v>15</v>
      </c>
      <c r="U32" s="30"/>
      <c r="V32" s="30"/>
      <c r="W32" s="30"/>
    </row>
    <row r="33" ht="14.25" customHeight="1">
      <c r="A33" s="156" t="s">
        <v>132</v>
      </c>
      <c r="B33" s="161">
        <v>0.0</v>
      </c>
      <c r="C33" s="161">
        <v>0.0</v>
      </c>
      <c r="D33" s="161">
        <v>0.0</v>
      </c>
      <c r="E33" s="161">
        <v>580.0</v>
      </c>
      <c r="F33" s="161">
        <v>30.0</v>
      </c>
      <c r="G33" s="161">
        <v>0.0</v>
      </c>
      <c r="H33" s="161">
        <v>100.0</v>
      </c>
      <c r="I33" s="161">
        <v>200.0</v>
      </c>
      <c r="J33" s="161">
        <v>30.0</v>
      </c>
      <c r="K33" s="161">
        <v>0.0</v>
      </c>
      <c r="L33" s="161">
        <v>280.0</v>
      </c>
      <c r="M33" s="161">
        <v>0.0</v>
      </c>
      <c r="N33" s="161">
        <v>0.0</v>
      </c>
      <c r="O33" s="161">
        <v>50.0</v>
      </c>
      <c r="P33" s="161">
        <v>0.0</v>
      </c>
      <c r="Q33" s="161">
        <v>0.0</v>
      </c>
      <c r="R33" s="161">
        <v>0.0</v>
      </c>
      <c r="S33" s="161">
        <v>0.0</v>
      </c>
      <c r="T33" s="161">
        <v>100.0</v>
      </c>
      <c r="U33" s="30"/>
      <c r="V33" s="30"/>
    </row>
    <row r="34" ht="14.25" customHeight="1">
      <c r="A34" s="156" t="s">
        <v>133</v>
      </c>
      <c r="B34" s="161">
        <v>0.0</v>
      </c>
      <c r="C34" s="161">
        <v>200.0</v>
      </c>
      <c r="D34" s="161">
        <v>0.0</v>
      </c>
      <c r="E34" s="161">
        <v>500.0</v>
      </c>
      <c r="F34" s="161">
        <v>300.0</v>
      </c>
      <c r="G34" s="161">
        <v>100.0</v>
      </c>
      <c r="H34" s="161">
        <v>400.0</v>
      </c>
      <c r="I34" s="161">
        <v>400.0</v>
      </c>
      <c r="J34" s="161">
        <v>200.0</v>
      </c>
      <c r="K34" s="161">
        <v>300.0</v>
      </c>
      <c r="L34" s="161">
        <v>200.0</v>
      </c>
      <c r="M34" s="161">
        <v>100.0</v>
      </c>
      <c r="N34" s="161">
        <v>0.0</v>
      </c>
      <c r="O34" s="161">
        <v>400.0</v>
      </c>
      <c r="P34" s="161">
        <v>300.0</v>
      </c>
      <c r="Q34" s="161">
        <v>100.0</v>
      </c>
      <c r="R34" s="161">
        <v>100.0</v>
      </c>
      <c r="S34" s="161">
        <v>200.0</v>
      </c>
      <c r="T34" s="161">
        <v>300.0</v>
      </c>
      <c r="U34" s="30"/>
      <c r="V34" s="30"/>
      <c r="W34" s="79"/>
      <c r="X34" s="162"/>
    </row>
    <row r="35" ht="14.25" customHeight="1">
      <c r="A35" s="159" t="s">
        <v>134</v>
      </c>
      <c r="B35" s="163">
        <f t="shared" ref="B35:T35" si="4">SUM(B33:B34)</f>
        <v>0</v>
      </c>
      <c r="C35" s="163">
        <f t="shared" si="4"/>
        <v>200</v>
      </c>
      <c r="D35" s="163">
        <f t="shared" si="4"/>
        <v>0</v>
      </c>
      <c r="E35" s="163">
        <f t="shared" si="4"/>
        <v>1080</v>
      </c>
      <c r="F35" s="163">
        <f t="shared" si="4"/>
        <v>330</v>
      </c>
      <c r="G35" s="163">
        <f t="shared" si="4"/>
        <v>100</v>
      </c>
      <c r="H35" s="163">
        <f t="shared" si="4"/>
        <v>500</v>
      </c>
      <c r="I35" s="163">
        <f t="shared" si="4"/>
        <v>600</v>
      </c>
      <c r="J35" s="163">
        <f t="shared" si="4"/>
        <v>230</v>
      </c>
      <c r="K35" s="163">
        <f t="shared" si="4"/>
        <v>300</v>
      </c>
      <c r="L35" s="163">
        <f t="shared" si="4"/>
        <v>480</v>
      </c>
      <c r="M35" s="163">
        <f t="shared" si="4"/>
        <v>100</v>
      </c>
      <c r="N35" s="163">
        <f t="shared" si="4"/>
        <v>0</v>
      </c>
      <c r="O35" s="163">
        <f t="shared" si="4"/>
        <v>450</v>
      </c>
      <c r="P35" s="163">
        <f t="shared" si="4"/>
        <v>300</v>
      </c>
      <c r="Q35" s="163">
        <f t="shared" si="4"/>
        <v>100</v>
      </c>
      <c r="R35" s="163">
        <f t="shared" si="4"/>
        <v>100</v>
      </c>
      <c r="S35" s="163">
        <f t="shared" si="4"/>
        <v>200</v>
      </c>
      <c r="T35" s="163">
        <f t="shared" si="4"/>
        <v>400</v>
      </c>
      <c r="U35" s="30"/>
      <c r="V35" s="30"/>
      <c r="W35" s="159" t="s">
        <v>135</v>
      </c>
      <c r="X35" s="163">
        <f>SUM(B35:T35)</f>
        <v>5470</v>
      </c>
    </row>
    <row r="36" ht="14.25" customHeight="1">
      <c r="A36" s="69"/>
      <c r="B36" s="30"/>
      <c r="C36" s="30"/>
      <c r="D36" s="30"/>
      <c r="E36" s="30"/>
      <c r="F36" s="30"/>
      <c r="G36" s="30"/>
      <c r="H36" s="30"/>
      <c r="I36" s="30"/>
      <c r="J36" s="30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30"/>
      <c r="V36" s="30"/>
      <c r="W36" s="30" t="s">
        <v>5</v>
      </c>
      <c r="X36" s="31">
        <v>100.0</v>
      </c>
    </row>
    <row r="37" ht="14.25" customHeight="1">
      <c r="A37" s="164" t="s">
        <v>138</v>
      </c>
      <c r="B37" s="30"/>
      <c r="C37" s="30"/>
      <c r="D37" s="30"/>
      <c r="E37" s="30"/>
      <c r="F37" s="30"/>
      <c r="G37" s="30"/>
      <c r="H37" s="30"/>
      <c r="I37" s="30"/>
      <c r="J37" s="30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30"/>
      <c r="V37" s="30"/>
      <c r="W37" s="30"/>
      <c r="X37" s="30"/>
      <c r="Y37" s="30"/>
      <c r="Z37" s="30"/>
      <c r="AA37" s="30"/>
      <c r="AB37" s="30"/>
      <c r="AC37" s="30"/>
      <c r="AD37" s="30"/>
    </row>
    <row r="38" ht="14.25" customHeight="1">
      <c r="A38" s="51" t="s">
        <v>118</v>
      </c>
      <c r="B38" s="51" t="s">
        <v>139</v>
      </c>
      <c r="C38" s="51" t="s">
        <v>140</v>
      </c>
      <c r="D38" s="51" t="s">
        <v>136</v>
      </c>
      <c r="E38" s="51" t="s">
        <v>137</v>
      </c>
      <c r="F38" s="30"/>
      <c r="G38" s="30"/>
      <c r="H38" s="69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</row>
    <row r="39" ht="14.25" customHeight="1">
      <c r="A39" s="94">
        <v>1.0</v>
      </c>
      <c r="B39" s="165" t="s">
        <v>167</v>
      </c>
      <c r="C39" s="165" t="s">
        <v>203</v>
      </c>
      <c r="D39" s="166" t="s">
        <v>0</v>
      </c>
      <c r="E39" s="165">
        <v>4.0</v>
      </c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</row>
    <row r="40" ht="14.25" customHeight="1">
      <c r="A40" s="94">
        <v>2.0</v>
      </c>
      <c r="B40" s="165" t="s">
        <v>11</v>
      </c>
      <c r="C40" s="167" t="s">
        <v>91</v>
      </c>
      <c r="D40" s="165" t="s">
        <v>7</v>
      </c>
      <c r="E40" s="165">
        <v>15.0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</row>
    <row r="41" ht="14.25" customHeight="1">
      <c r="A41" s="94">
        <v>3.0</v>
      </c>
      <c r="B41" s="165" t="s">
        <v>2</v>
      </c>
      <c r="C41" s="166" t="s">
        <v>204</v>
      </c>
      <c r="D41" s="165" t="s">
        <v>4</v>
      </c>
      <c r="E41" s="165">
        <v>75.0</v>
      </c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</row>
    <row r="42" ht="14.25" customHeight="1">
      <c r="A42" s="94">
        <v>4.0</v>
      </c>
      <c r="B42" s="165" t="s">
        <v>21</v>
      </c>
      <c r="C42" s="166" t="s">
        <v>205</v>
      </c>
      <c r="D42" s="165" t="s">
        <v>2</v>
      </c>
      <c r="E42" s="165">
        <v>369.5</v>
      </c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</row>
    <row r="43" ht="14.25" customHeight="1">
      <c r="A43" s="94">
        <v>5.0</v>
      </c>
      <c r="B43" s="165" t="s">
        <v>12</v>
      </c>
      <c r="C43" s="166" t="s">
        <v>92</v>
      </c>
      <c r="D43" s="165" t="s">
        <v>17</v>
      </c>
      <c r="E43" s="165">
        <v>31.0</v>
      </c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</row>
    <row r="44" ht="14.25" customHeight="1">
      <c r="A44" s="94">
        <v>6.0</v>
      </c>
      <c r="B44" s="165" t="s">
        <v>4</v>
      </c>
      <c r="C44" s="166" t="s">
        <v>206</v>
      </c>
      <c r="D44" s="165" t="s">
        <v>8</v>
      </c>
      <c r="E44" s="165">
        <v>110.0</v>
      </c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</row>
    <row r="45" ht="14.25" customHeight="1">
      <c r="A45" s="94">
        <v>7.0</v>
      </c>
      <c r="B45" s="165" t="s">
        <v>20</v>
      </c>
      <c r="C45" s="166" t="s">
        <v>207</v>
      </c>
      <c r="D45" s="165" t="s">
        <v>0</v>
      </c>
      <c r="E45" s="165">
        <v>179.0</v>
      </c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</row>
    <row r="46" ht="14.25" customHeight="1">
      <c r="A46" s="94">
        <v>8.0</v>
      </c>
      <c r="B46" s="165" t="s">
        <v>17</v>
      </c>
      <c r="C46" s="166" t="s">
        <v>208</v>
      </c>
      <c r="D46" s="165" t="s">
        <v>0</v>
      </c>
      <c r="E46" s="165">
        <v>48.0</v>
      </c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</row>
    <row r="47" ht="14.25" customHeight="1">
      <c r="A47" s="94">
        <v>9.0</v>
      </c>
      <c r="B47" s="165" t="s">
        <v>8</v>
      </c>
      <c r="C47" s="166" t="s">
        <v>209</v>
      </c>
      <c r="D47" s="165" t="s">
        <v>210</v>
      </c>
      <c r="E47" s="165">
        <v>12.0</v>
      </c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</row>
    <row r="48" ht="14.25" customHeight="1">
      <c r="A48" s="94">
        <v>10.0</v>
      </c>
      <c r="B48" s="165" t="s">
        <v>14</v>
      </c>
      <c r="C48" s="166" t="s">
        <v>211</v>
      </c>
      <c r="D48" s="165" t="s">
        <v>0</v>
      </c>
      <c r="E48" s="165">
        <v>24.2</v>
      </c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</row>
    <row r="49" ht="14.25" customHeight="1">
      <c r="A49" s="94">
        <v>11.0</v>
      </c>
      <c r="B49" s="165" t="s">
        <v>7</v>
      </c>
      <c r="C49" s="166" t="s">
        <v>212</v>
      </c>
      <c r="D49" s="165" t="s">
        <v>2</v>
      </c>
      <c r="E49" s="165">
        <v>33.0</v>
      </c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</row>
    <row r="50" ht="14.25" customHeight="1">
      <c r="A50" s="94">
        <v>12.0</v>
      </c>
      <c r="B50" s="165" t="s">
        <v>5</v>
      </c>
      <c r="C50" s="166" t="s">
        <v>78</v>
      </c>
      <c r="D50" s="165" t="s">
        <v>213</v>
      </c>
      <c r="E50" s="165">
        <v>35.0</v>
      </c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</row>
    <row r="51" ht="14.25" customHeight="1">
      <c r="A51" s="94">
        <v>13.0</v>
      </c>
      <c r="B51" s="165" t="s">
        <v>9</v>
      </c>
      <c r="C51" s="166" t="s">
        <v>214</v>
      </c>
      <c r="D51" s="165" t="s">
        <v>9</v>
      </c>
      <c r="E51" s="165" t="s">
        <v>215</v>
      </c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</row>
    <row r="52" ht="14.25" customHeight="1">
      <c r="A52" s="94">
        <v>14.0</v>
      </c>
      <c r="B52" s="165" t="s">
        <v>3</v>
      </c>
      <c r="C52" s="166" t="s">
        <v>44</v>
      </c>
      <c r="D52" s="165" t="s">
        <v>1</v>
      </c>
      <c r="E52" s="165">
        <v>120.0</v>
      </c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</row>
    <row r="53" ht="14.25" customHeight="1">
      <c r="A53" s="94">
        <v>15.0</v>
      </c>
      <c r="B53" s="165" t="s">
        <v>16</v>
      </c>
      <c r="C53" s="166" t="s">
        <v>216</v>
      </c>
      <c r="D53" s="165" t="s">
        <v>217</v>
      </c>
      <c r="E53" s="165" t="s">
        <v>218</v>
      </c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</row>
    <row r="54" ht="14.25" customHeight="1">
      <c r="A54" s="94">
        <v>16.0</v>
      </c>
      <c r="B54" s="165" t="s">
        <v>15</v>
      </c>
      <c r="C54" s="165" t="s">
        <v>219</v>
      </c>
      <c r="D54" s="165" t="s">
        <v>3</v>
      </c>
      <c r="E54" s="165">
        <v>32.0</v>
      </c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</row>
    <row r="55" ht="14.25" customHeight="1">
      <c r="A55" s="94">
        <v>17.0</v>
      </c>
      <c r="B55" s="165" t="s">
        <v>1</v>
      </c>
      <c r="C55" s="165" t="s">
        <v>220</v>
      </c>
      <c r="D55" s="165" t="s">
        <v>221</v>
      </c>
      <c r="E55" s="165">
        <v>55.0</v>
      </c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</row>
    <row r="56" ht="14.25" customHeight="1">
      <c r="A56" s="94">
        <v>18.0</v>
      </c>
      <c r="B56" s="165" t="s">
        <v>22</v>
      </c>
      <c r="C56" s="165" t="s">
        <v>101</v>
      </c>
      <c r="D56" s="165" t="s">
        <v>22</v>
      </c>
      <c r="E56" s="165">
        <v>90.0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</row>
    <row r="57" ht="14.25" customHeight="1">
      <c r="A57" s="94">
        <v>19.0</v>
      </c>
      <c r="B57" s="165" t="s">
        <v>10</v>
      </c>
      <c r="C57" s="165" t="s">
        <v>222</v>
      </c>
      <c r="D57" s="165" t="s">
        <v>4</v>
      </c>
      <c r="E57" s="165">
        <v>73.0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</row>
    <row r="58" ht="14.25" customHeight="1">
      <c r="A58" s="94">
        <v>20.0</v>
      </c>
      <c r="B58" s="165" t="s">
        <v>19</v>
      </c>
      <c r="C58" s="165" t="s">
        <v>223</v>
      </c>
      <c r="D58" s="165" t="s">
        <v>20</v>
      </c>
      <c r="E58" s="165">
        <v>11.0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</row>
    <row r="59" ht="14.25" customHeight="1">
      <c r="A59" s="94">
        <v>21.0</v>
      </c>
      <c r="B59" s="165" t="s">
        <v>21</v>
      </c>
      <c r="C59" s="165" t="s">
        <v>162</v>
      </c>
      <c r="D59" s="165" t="s">
        <v>2</v>
      </c>
      <c r="E59" s="165" t="s">
        <v>224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</row>
    <row r="60" ht="14.25" customHeight="1">
      <c r="A60" s="94">
        <v>22.0</v>
      </c>
      <c r="B60" s="168" t="s">
        <v>17</v>
      </c>
      <c r="C60" s="165" t="s">
        <v>225</v>
      </c>
      <c r="D60" s="165" t="s">
        <v>2</v>
      </c>
      <c r="E60" s="165">
        <v>268.0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</row>
    <row r="61" ht="14.25" customHeight="1">
      <c r="A61" s="94">
        <v>23.0</v>
      </c>
      <c r="B61" s="168" t="s">
        <v>20</v>
      </c>
      <c r="C61" s="166" t="s">
        <v>226</v>
      </c>
      <c r="D61" s="165" t="s">
        <v>20</v>
      </c>
      <c r="E61" s="165">
        <v>5.0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</row>
    <row r="62" ht="14.25" customHeight="1">
      <c r="A62" s="94" t="s">
        <v>227</v>
      </c>
      <c r="B62" s="165" t="s">
        <v>16</v>
      </c>
      <c r="C62" s="166" t="s">
        <v>92</v>
      </c>
      <c r="D62" s="165" t="s">
        <v>4</v>
      </c>
      <c r="E62" s="165">
        <v>26.0</v>
      </c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</row>
    <row r="63" ht="14.25" customHeight="1">
      <c r="A63" s="89"/>
      <c r="B63" s="89"/>
      <c r="C63" s="30"/>
      <c r="D63" s="89"/>
      <c r="E63" s="89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</row>
    <row r="64" ht="14.2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</row>
    <row r="65" ht="14.2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</row>
    <row r="66" ht="14.2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</row>
    <row r="67" ht="14.2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9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</row>
    <row r="68" ht="14.2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</row>
    <row r="69" ht="14.2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</row>
    <row r="70" ht="14.2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</row>
    <row r="71" ht="14.2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</row>
    <row r="72" ht="14.2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</row>
    <row r="73" ht="14.2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</row>
    <row r="74" ht="14.2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</row>
    <row r="75" ht="14.2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</row>
    <row r="76" ht="14.2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</row>
    <row r="77" ht="14.2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</row>
    <row r="78" ht="14.2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</row>
    <row r="79" ht="14.2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</row>
    <row r="80" ht="14.2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</row>
    <row r="81" ht="14.2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</row>
    <row r="82" ht="14.2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</row>
    <row r="83" ht="14.2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</row>
    <row r="84" ht="14.2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</row>
    <row r="85" ht="14.2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</row>
    <row r="86" ht="14.2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</row>
    <row r="87" ht="14.2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</row>
    <row r="88" ht="14.2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</row>
    <row r="89" ht="14.2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</row>
    <row r="90" ht="14.2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</row>
    <row r="91" ht="14.2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</row>
    <row r="92" ht="14.2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</row>
    <row r="93" ht="14.2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</row>
    <row r="94" ht="14.2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</row>
    <row r="95" ht="14.2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</row>
    <row r="96" ht="14.2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</row>
    <row r="97" ht="14.2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</row>
    <row r="98" ht="14.2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</row>
    <row r="99" ht="14.2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</row>
    <row r="100" ht="14.2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</row>
    <row r="101" ht="14.2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</row>
    <row r="102" ht="14.2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</row>
    <row r="103" ht="14.2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</row>
    <row r="104" ht="14.2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</row>
    <row r="105" ht="14.2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</row>
    <row r="106" ht="14.2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</row>
    <row r="107" ht="14.2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</row>
    <row r="108" ht="14.2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</row>
    <row r="109" ht="14.2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</row>
    <row r="110" ht="14.2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</row>
    <row r="111" ht="14.2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</row>
    <row r="112" ht="14.2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</row>
    <row r="113" ht="14.2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</row>
    <row r="114" ht="14.2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</row>
    <row r="115" ht="14.2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</row>
    <row r="116" ht="14.2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</row>
    <row r="117" ht="14.2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</row>
    <row r="118" ht="14.2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</row>
    <row r="119" ht="14.2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</row>
    <row r="120" ht="14.2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</row>
    <row r="121" ht="14.2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</row>
    <row r="122" ht="14.2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</row>
    <row r="123" ht="14.2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</row>
    <row r="124" ht="14.2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</row>
    <row r="125" ht="14.2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</row>
    <row r="126" ht="14.2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</row>
    <row r="127" ht="14.2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</row>
    <row r="128" ht="14.2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</row>
    <row r="129" ht="14.2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</row>
    <row r="130" ht="14.2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</row>
    <row r="131" ht="14.2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</row>
    <row r="132" ht="14.2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</row>
    <row r="133" ht="14.2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</row>
    <row r="134" ht="14.2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</row>
    <row r="135" ht="14.2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</row>
    <row r="136" ht="14.2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</row>
    <row r="137" ht="14.2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</row>
    <row r="138" ht="14.2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</row>
    <row r="139" ht="14.2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</row>
    <row r="140" ht="14.2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</row>
    <row r="141" ht="14.2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</row>
    <row r="142" ht="14.2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</row>
    <row r="143" ht="14.2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</row>
    <row r="144" ht="14.2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</row>
    <row r="145" ht="14.2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</row>
    <row r="146" ht="14.2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</row>
    <row r="147" ht="14.2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</row>
    <row r="148" ht="14.2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</row>
    <row r="149" ht="14.2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</row>
    <row r="150" ht="14.2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</row>
    <row r="151" ht="14.2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</row>
    <row r="152" ht="14.2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</row>
    <row r="153" ht="14.2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</row>
    <row r="154" ht="14.2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</row>
    <row r="155" ht="14.2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</row>
    <row r="156" ht="14.2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</row>
    <row r="157" ht="14.2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</row>
    <row r="158" ht="14.2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</row>
    <row r="159" ht="14.2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</row>
    <row r="160" ht="14.2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</row>
    <row r="161" ht="14.2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</row>
    <row r="162" ht="14.2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</row>
    <row r="163" ht="14.2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</row>
    <row r="164" ht="14.2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</row>
    <row r="165" ht="14.2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</row>
    <row r="166" ht="14.2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</row>
    <row r="167" ht="14.2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</row>
    <row r="168" ht="14.2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</row>
    <row r="169" ht="14.2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</row>
    <row r="170" ht="14.2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</row>
    <row r="171" ht="14.2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</row>
    <row r="172" ht="14.2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</row>
    <row r="173" ht="14.2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</row>
    <row r="174" ht="14.2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</row>
    <row r="175" ht="14.2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</row>
    <row r="176" ht="14.2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</row>
    <row r="177" ht="14.2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</row>
    <row r="178" ht="14.2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</row>
    <row r="179" ht="14.2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</row>
    <row r="180" ht="14.2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</row>
    <row r="181" ht="14.2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</row>
    <row r="182" ht="14.2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</row>
    <row r="183" ht="14.2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</row>
    <row r="184" ht="14.2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</row>
    <row r="185" ht="14.2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</row>
    <row r="186" ht="14.2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</row>
    <row r="187" ht="14.2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</row>
    <row r="188" ht="14.2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</row>
    <row r="189" ht="14.2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</row>
    <row r="190" ht="14.2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</row>
    <row r="191" ht="14.2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</row>
    <row r="192" ht="14.2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</row>
    <row r="193" ht="14.2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</row>
    <row r="194" ht="14.2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</row>
    <row r="195" ht="14.2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</row>
    <row r="196" ht="14.2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</row>
    <row r="197" ht="14.2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</row>
    <row r="198" ht="14.2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</row>
    <row r="199" ht="14.2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</row>
    <row r="200" ht="14.2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</row>
    <row r="201" ht="14.2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</row>
    <row r="202" ht="14.2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</row>
    <row r="203" ht="14.2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</row>
    <row r="204" ht="14.2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</row>
    <row r="205" ht="14.2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</row>
    <row r="206" ht="14.2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</row>
    <row r="207" ht="14.2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</row>
    <row r="208" ht="14.2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</row>
    <row r="209" ht="14.2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</row>
    <row r="210" ht="14.2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</row>
    <row r="211" ht="14.2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</row>
    <row r="212" ht="14.2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</row>
    <row r="213" ht="14.2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</row>
    <row r="214" ht="14.2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</row>
    <row r="215" ht="14.2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</row>
    <row r="216" ht="14.2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</row>
    <row r="217" ht="14.2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</row>
    <row r="218" ht="14.2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</row>
    <row r="219" ht="14.2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</row>
    <row r="220" ht="14.2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</row>
    <row r="221" ht="14.2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</row>
    <row r="222" ht="14.2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</row>
    <row r="223" ht="14.2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</row>
    <row r="224" ht="14.2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</row>
    <row r="225" ht="14.2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</row>
    <row r="226" ht="14.2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</row>
    <row r="227" ht="14.2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</row>
    <row r="228" ht="14.2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</row>
    <row r="229" ht="14.2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</row>
    <row r="230" ht="14.2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</row>
    <row r="231" ht="14.2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</row>
    <row r="232" ht="14.2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</row>
    <row r="233" ht="14.2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</row>
    <row r="234" ht="14.2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17" width="8.25"/>
    <col customWidth="1" min="18" max="18" width="2.75"/>
    <col customWidth="1" min="19" max="19" width="2.63"/>
    <col customWidth="1" min="20" max="20" width="19.13"/>
    <col customWidth="1" min="21" max="27" width="14.38"/>
  </cols>
  <sheetData>
    <row r="1" ht="14.25" customHeight="1">
      <c r="A1" s="51" t="s">
        <v>118</v>
      </c>
      <c r="B1" s="51" t="s">
        <v>167</v>
      </c>
      <c r="C1" s="51" t="s">
        <v>11</v>
      </c>
      <c r="D1" s="51" t="s">
        <v>2</v>
      </c>
      <c r="E1" s="51" t="s">
        <v>21</v>
      </c>
      <c r="F1" s="51" t="s">
        <v>12</v>
      </c>
      <c r="G1" s="51" t="s">
        <v>4</v>
      </c>
      <c r="H1" s="51" t="s">
        <v>20</v>
      </c>
      <c r="I1" s="51" t="s">
        <v>17</v>
      </c>
      <c r="J1" s="51" t="s">
        <v>8</v>
      </c>
      <c r="K1" s="51" t="s">
        <v>14</v>
      </c>
      <c r="L1" s="51" t="s">
        <v>228</v>
      </c>
      <c r="M1" s="51" t="s">
        <v>7</v>
      </c>
      <c r="N1" s="51" t="s">
        <v>5</v>
      </c>
      <c r="O1" s="51" t="s">
        <v>9</v>
      </c>
      <c r="P1" s="51" t="s">
        <v>3</v>
      </c>
      <c r="Q1" s="51" t="s">
        <v>16</v>
      </c>
      <c r="R1" s="30"/>
      <c r="S1" s="30"/>
      <c r="T1" s="30"/>
    </row>
    <row r="2" ht="14.25" customHeight="1">
      <c r="A2" s="169">
        <v>0.0</v>
      </c>
      <c r="B2" s="57">
        <v>219.0</v>
      </c>
      <c r="C2" s="57">
        <v>195.0</v>
      </c>
      <c r="D2" s="57">
        <v>420.0</v>
      </c>
      <c r="E2" s="57">
        <f>108+30</f>
        <v>138</v>
      </c>
      <c r="F2" s="57">
        <v>140.5</v>
      </c>
      <c r="G2" s="57">
        <v>161.5</v>
      </c>
      <c r="H2" s="57">
        <v>121.5</v>
      </c>
      <c r="I2" s="150">
        <v>70.0</v>
      </c>
      <c r="J2" s="150">
        <v>0.0</v>
      </c>
      <c r="K2" s="150">
        <v>0.0</v>
      </c>
      <c r="L2" s="150">
        <v>0.0</v>
      </c>
      <c r="M2" s="57">
        <v>134.5</v>
      </c>
      <c r="N2" s="57">
        <v>126.0</v>
      </c>
      <c r="O2" s="57">
        <v>147.0</v>
      </c>
      <c r="P2" s="150">
        <v>0.0</v>
      </c>
      <c r="Q2" s="150">
        <v>0.0</v>
      </c>
      <c r="R2" s="30"/>
      <c r="S2" s="30"/>
      <c r="T2" s="30"/>
    </row>
    <row r="3" ht="14.25" customHeight="1">
      <c r="A3" s="169">
        <v>1.0</v>
      </c>
      <c r="B3" s="57">
        <v>318.5</v>
      </c>
      <c r="C3" s="57">
        <v>130.0</v>
      </c>
      <c r="D3" s="57">
        <v>352.0</v>
      </c>
      <c r="E3" s="57">
        <v>100.5</v>
      </c>
      <c r="F3" s="57">
        <v>108.5</v>
      </c>
      <c r="G3" s="57">
        <v>113.0</v>
      </c>
      <c r="H3" s="57">
        <v>186.0</v>
      </c>
      <c r="I3" s="57">
        <v>187.0</v>
      </c>
      <c r="J3" s="57">
        <f>166+14</f>
        <v>180</v>
      </c>
      <c r="K3" s="57">
        <v>124.5</v>
      </c>
      <c r="L3" s="57">
        <v>235.0</v>
      </c>
      <c r="M3" s="57">
        <v>164.0</v>
      </c>
      <c r="N3" s="57">
        <v>129.0</v>
      </c>
      <c r="O3" s="57">
        <v>154.0</v>
      </c>
      <c r="P3" s="57">
        <v>150.0</v>
      </c>
      <c r="Q3" s="150">
        <v>0.0</v>
      </c>
      <c r="R3" s="30"/>
      <c r="S3" s="30"/>
      <c r="T3" s="30"/>
    </row>
    <row r="4" ht="14.25" customHeight="1">
      <c r="A4" s="169">
        <v>2.0</v>
      </c>
      <c r="B4" s="57">
        <v>180.0</v>
      </c>
      <c r="C4" s="57">
        <v>132.5</v>
      </c>
      <c r="D4" s="57">
        <v>251.5</v>
      </c>
      <c r="E4" s="57">
        <v>161.0</v>
      </c>
      <c r="F4" s="57">
        <v>101.5</v>
      </c>
      <c r="G4" s="57">
        <v>201.5</v>
      </c>
      <c r="H4" s="57">
        <v>101.5</v>
      </c>
      <c r="I4" s="57">
        <v>118.0</v>
      </c>
      <c r="J4" s="57">
        <v>191.0</v>
      </c>
      <c r="K4" s="57">
        <v>179.5</v>
      </c>
      <c r="L4" s="57">
        <v>101.0</v>
      </c>
      <c r="M4" s="57">
        <v>207.5</v>
      </c>
      <c r="N4" s="57">
        <v>115.0</v>
      </c>
      <c r="O4" s="57">
        <v>261.0</v>
      </c>
      <c r="P4" s="57">
        <v>286.5</v>
      </c>
      <c r="Q4" s="150">
        <v>0.0</v>
      </c>
      <c r="R4" s="30"/>
      <c r="S4" s="30"/>
      <c r="T4" s="30"/>
    </row>
    <row r="5" ht="14.25" customHeight="1">
      <c r="A5" s="169">
        <v>3.0</v>
      </c>
      <c r="B5" s="57">
        <v>302.5</v>
      </c>
      <c r="C5" s="57">
        <v>121.5</v>
      </c>
      <c r="D5" s="57">
        <v>397.0</v>
      </c>
      <c r="E5" s="57">
        <v>102.5</v>
      </c>
      <c r="F5" s="57">
        <v>145.5</v>
      </c>
      <c r="G5" s="57">
        <v>241.4</v>
      </c>
      <c r="H5" s="57">
        <v>102.5</v>
      </c>
      <c r="I5" s="57">
        <v>146.0</v>
      </c>
      <c r="J5" s="57">
        <v>197.5</v>
      </c>
      <c r="K5" s="57">
        <v>100.0</v>
      </c>
      <c r="L5" s="57">
        <v>102.5</v>
      </c>
      <c r="M5" s="57">
        <v>169.5</v>
      </c>
      <c r="N5" s="57">
        <v>128.0</v>
      </c>
      <c r="O5" s="57">
        <v>308.0</v>
      </c>
      <c r="P5" s="57">
        <v>394.5</v>
      </c>
      <c r="Q5" s="57">
        <v>312.0</v>
      </c>
      <c r="R5" s="30"/>
      <c r="S5" s="30"/>
      <c r="T5" s="30"/>
    </row>
    <row r="6" ht="14.25" customHeight="1">
      <c r="A6" s="169">
        <v>4.0</v>
      </c>
      <c r="B6" s="57">
        <v>258.5</v>
      </c>
      <c r="C6" s="57">
        <v>119.0</v>
      </c>
      <c r="D6" s="57">
        <v>463.5</v>
      </c>
      <c r="E6" s="57">
        <v>149.0</v>
      </c>
      <c r="F6" s="57">
        <v>140.5</v>
      </c>
      <c r="G6" s="57">
        <v>236.0</v>
      </c>
      <c r="H6" s="57">
        <v>107.5</v>
      </c>
      <c r="I6" s="57">
        <v>131.0</v>
      </c>
      <c r="J6" s="57">
        <v>142.0</v>
      </c>
      <c r="K6" s="57">
        <v>102.0</v>
      </c>
      <c r="L6" s="57">
        <v>101.5</v>
      </c>
      <c r="M6" s="57">
        <v>158.0</v>
      </c>
      <c r="N6" s="57">
        <v>124.0</v>
      </c>
      <c r="O6" s="57">
        <v>312.0</v>
      </c>
      <c r="P6" s="57">
        <v>375.5</v>
      </c>
      <c r="Q6" s="153">
        <v>73.0</v>
      </c>
      <c r="R6" s="30"/>
      <c r="S6" s="30"/>
      <c r="T6" s="30"/>
    </row>
    <row r="7" ht="14.25" customHeight="1">
      <c r="A7" s="169">
        <v>5.0</v>
      </c>
      <c r="B7" s="132">
        <v>178.5</v>
      </c>
      <c r="C7" s="57">
        <v>121.0</v>
      </c>
      <c r="D7" s="57">
        <v>410.5</v>
      </c>
      <c r="E7" s="57">
        <v>133.0</v>
      </c>
      <c r="F7" s="57">
        <v>171.5</v>
      </c>
      <c r="G7" s="57">
        <v>250.0</v>
      </c>
      <c r="H7" s="57">
        <v>101.0</v>
      </c>
      <c r="I7" s="57">
        <v>246.0</v>
      </c>
      <c r="J7" s="57">
        <v>287.8</v>
      </c>
      <c r="K7" s="57">
        <v>112.0</v>
      </c>
      <c r="L7" s="150">
        <v>40.0</v>
      </c>
      <c r="M7" s="57">
        <v>100.0</v>
      </c>
      <c r="N7" s="57">
        <v>101.0</v>
      </c>
      <c r="O7" s="57">
        <v>247.0</v>
      </c>
      <c r="P7" s="57">
        <v>130.0</v>
      </c>
      <c r="Q7" s="57">
        <v>108.0</v>
      </c>
      <c r="R7" s="30"/>
      <c r="S7" s="30"/>
      <c r="T7" s="30"/>
    </row>
    <row r="8" ht="14.25" customHeight="1">
      <c r="A8" s="169">
        <v>6.0</v>
      </c>
      <c r="B8" s="57">
        <v>272.0</v>
      </c>
      <c r="C8" s="57">
        <v>100.5</v>
      </c>
      <c r="D8" s="57">
        <v>298.5</v>
      </c>
      <c r="E8" s="57">
        <v>104.5</v>
      </c>
      <c r="F8" s="57">
        <v>102.5</v>
      </c>
      <c r="G8" s="57">
        <v>315.0</v>
      </c>
      <c r="H8" s="57">
        <v>111.0</v>
      </c>
      <c r="I8" s="57">
        <v>243.0</v>
      </c>
      <c r="J8" s="132">
        <v>117.75</v>
      </c>
      <c r="K8" s="57">
        <v>140.0</v>
      </c>
      <c r="L8" s="150">
        <v>0.0</v>
      </c>
      <c r="M8" s="57">
        <v>270.0</v>
      </c>
      <c r="N8" s="57">
        <v>110.0</v>
      </c>
      <c r="O8" s="57">
        <v>266.0</v>
      </c>
      <c r="P8" s="57">
        <v>206.0</v>
      </c>
      <c r="Q8" s="57">
        <v>107.0</v>
      </c>
      <c r="R8" s="30"/>
      <c r="S8" s="30"/>
      <c r="T8" s="30"/>
    </row>
    <row r="9" ht="14.25" customHeight="1">
      <c r="A9" s="169">
        <v>7.0</v>
      </c>
      <c r="B9" s="132">
        <v>177.5</v>
      </c>
      <c r="C9" s="57">
        <v>132.5</v>
      </c>
      <c r="D9" s="57">
        <v>147.5</v>
      </c>
      <c r="E9" s="132">
        <v>0.0</v>
      </c>
      <c r="F9" s="57">
        <v>100.5</v>
      </c>
      <c r="G9" s="57">
        <v>136.0</v>
      </c>
      <c r="H9" s="57">
        <v>101.0</v>
      </c>
      <c r="I9" s="57">
        <v>214.0</v>
      </c>
      <c r="J9" s="57">
        <v>322.0</v>
      </c>
      <c r="K9" s="57">
        <v>250.5</v>
      </c>
      <c r="L9" s="57">
        <v>103.0</v>
      </c>
      <c r="M9" s="57">
        <v>212.0</v>
      </c>
      <c r="N9" s="57">
        <v>111.0</v>
      </c>
      <c r="O9" s="57">
        <v>296.0</v>
      </c>
      <c r="P9" s="57">
        <v>425.0</v>
      </c>
      <c r="Q9" s="57">
        <v>127.0</v>
      </c>
      <c r="R9" s="30"/>
      <c r="S9" s="30"/>
      <c r="T9" s="30"/>
    </row>
    <row r="10" ht="14.25" customHeight="1">
      <c r="A10" s="169">
        <v>8.0</v>
      </c>
      <c r="B10" s="57">
        <v>288.5</v>
      </c>
      <c r="C10" s="57">
        <v>100.5</v>
      </c>
      <c r="D10" s="57">
        <v>18.0</v>
      </c>
      <c r="E10" s="57">
        <v>101.5</v>
      </c>
      <c r="F10" s="57">
        <v>101.0</v>
      </c>
      <c r="G10" s="57">
        <v>203.0</v>
      </c>
      <c r="H10" s="57">
        <v>101.5</v>
      </c>
      <c r="I10" s="57">
        <v>169.0</v>
      </c>
      <c r="J10" s="57">
        <v>131.25</v>
      </c>
      <c r="K10" s="57">
        <v>167.0</v>
      </c>
      <c r="L10" s="57">
        <v>175.0</v>
      </c>
      <c r="M10" s="57">
        <v>146.0</v>
      </c>
      <c r="N10" s="57">
        <v>159.5</v>
      </c>
      <c r="O10" s="57">
        <v>243.0</v>
      </c>
      <c r="P10" s="57">
        <v>198.0</v>
      </c>
      <c r="Q10" s="57">
        <v>138.0</v>
      </c>
      <c r="R10" s="30"/>
      <c r="S10" s="30"/>
      <c r="T10" s="30"/>
    </row>
    <row r="11" ht="14.25" customHeight="1">
      <c r="A11" s="169">
        <v>9.0</v>
      </c>
      <c r="B11" s="57">
        <v>180.0</v>
      </c>
      <c r="C11" s="132">
        <v>100.0</v>
      </c>
      <c r="D11" s="57">
        <v>0.0</v>
      </c>
      <c r="E11" s="57">
        <v>16.5</v>
      </c>
      <c r="F11" s="57">
        <v>106.0</v>
      </c>
      <c r="G11" s="132">
        <v>35.5</v>
      </c>
      <c r="H11" s="57">
        <v>106.5</v>
      </c>
      <c r="I11" s="57">
        <v>101.0</v>
      </c>
      <c r="J11" s="57">
        <v>181.17857142857142</v>
      </c>
      <c r="K11" s="57">
        <v>117.0</v>
      </c>
      <c r="L11" s="57">
        <v>107.5</v>
      </c>
      <c r="M11" s="57">
        <v>107.0</v>
      </c>
      <c r="N11" s="57">
        <v>100.5</v>
      </c>
      <c r="O11" s="132">
        <v>101.5</v>
      </c>
      <c r="P11" s="57">
        <v>270.0</v>
      </c>
      <c r="Q11" s="153">
        <v>30.0</v>
      </c>
      <c r="R11" s="30"/>
      <c r="S11" s="30"/>
      <c r="T11" s="30"/>
    </row>
    <row r="12" ht="14.25" customHeight="1">
      <c r="A12" s="169">
        <v>10.0</v>
      </c>
      <c r="B12" s="57">
        <v>221.0</v>
      </c>
      <c r="C12" s="57">
        <v>148.5</v>
      </c>
      <c r="D12" s="57">
        <v>258.5</v>
      </c>
      <c r="E12" s="57">
        <v>101.0</v>
      </c>
      <c r="F12" s="57">
        <v>102.5</v>
      </c>
      <c r="G12" s="57">
        <v>217.0</v>
      </c>
      <c r="H12" s="57">
        <v>101.0</v>
      </c>
      <c r="I12" s="57">
        <v>152.0</v>
      </c>
      <c r="J12" s="57">
        <v>159.0</v>
      </c>
      <c r="K12" s="132">
        <v>0.0</v>
      </c>
      <c r="L12" s="57">
        <v>101.0</v>
      </c>
      <c r="M12" s="132">
        <v>100.0</v>
      </c>
      <c r="N12" s="57">
        <v>131.0</v>
      </c>
      <c r="O12" s="57">
        <v>212.0</v>
      </c>
      <c r="P12" s="57">
        <v>209.0</v>
      </c>
      <c r="Q12" s="57">
        <v>136.5</v>
      </c>
      <c r="R12" s="30"/>
      <c r="S12" s="30"/>
      <c r="T12" s="30"/>
    </row>
    <row r="13" ht="14.25" customHeight="1">
      <c r="A13" s="169">
        <v>11.0</v>
      </c>
      <c r="B13" s="57">
        <v>345.0</v>
      </c>
      <c r="C13" s="57">
        <v>105.0</v>
      </c>
      <c r="D13" s="57">
        <v>249.5</v>
      </c>
      <c r="E13" s="57">
        <v>19.0</v>
      </c>
      <c r="F13" s="132">
        <v>100.5</v>
      </c>
      <c r="G13" s="57">
        <v>164.0</v>
      </c>
      <c r="H13" s="57">
        <v>106.0</v>
      </c>
      <c r="I13" s="57">
        <v>100.0</v>
      </c>
      <c r="J13" s="57">
        <v>176.5</v>
      </c>
      <c r="K13" s="132">
        <v>0.0</v>
      </c>
      <c r="L13" s="57">
        <v>210.5</v>
      </c>
      <c r="M13" s="57">
        <v>350.5</v>
      </c>
      <c r="N13" s="153">
        <v>69.0</v>
      </c>
      <c r="O13" s="57">
        <v>179.0</v>
      </c>
      <c r="P13" s="57">
        <v>195.0</v>
      </c>
      <c r="Q13" s="57">
        <v>0.0</v>
      </c>
      <c r="R13" s="30"/>
      <c r="S13" s="30"/>
      <c r="T13" s="30"/>
    </row>
    <row r="14" ht="14.25" customHeight="1">
      <c r="A14" s="169">
        <v>12.0</v>
      </c>
      <c r="B14" s="57">
        <v>206.0</v>
      </c>
      <c r="C14" s="57">
        <v>100.5</v>
      </c>
      <c r="D14" s="57">
        <v>309.5</v>
      </c>
      <c r="E14" s="132">
        <v>0.0</v>
      </c>
      <c r="F14" s="57">
        <v>101.0</v>
      </c>
      <c r="G14" s="57">
        <v>137.5</v>
      </c>
      <c r="H14" s="57">
        <v>0.0</v>
      </c>
      <c r="I14" s="57">
        <v>108.0</v>
      </c>
      <c r="J14" s="57">
        <v>214.06666666666666</v>
      </c>
      <c r="K14" s="57">
        <v>110.0</v>
      </c>
      <c r="L14" s="57">
        <v>103.5</v>
      </c>
      <c r="M14" s="57">
        <v>130.0</v>
      </c>
      <c r="N14" s="146">
        <v>0.0</v>
      </c>
      <c r="O14" s="132">
        <v>101.0</v>
      </c>
      <c r="P14" s="57">
        <v>197.5</v>
      </c>
      <c r="Q14" s="132">
        <v>0.0</v>
      </c>
      <c r="R14" s="30"/>
      <c r="S14" s="30"/>
      <c r="T14" s="30"/>
    </row>
    <row r="15" ht="14.25" customHeight="1">
      <c r="A15" s="169">
        <v>13.0</v>
      </c>
      <c r="B15" s="57">
        <v>334.0</v>
      </c>
      <c r="C15" s="57">
        <v>100.5</v>
      </c>
      <c r="D15" s="57">
        <v>328.0</v>
      </c>
      <c r="E15" s="57">
        <v>247.0</v>
      </c>
      <c r="F15" s="57">
        <v>101.0</v>
      </c>
      <c r="G15" s="57">
        <v>125.0</v>
      </c>
      <c r="H15" s="57">
        <v>38.0</v>
      </c>
      <c r="I15" s="57">
        <v>150.0</v>
      </c>
      <c r="J15" s="57">
        <v>203.0</v>
      </c>
      <c r="K15" s="57">
        <v>100.5</v>
      </c>
      <c r="L15" s="57">
        <v>160.5</v>
      </c>
      <c r="M15" s="57">
        <v>121.0</v>
      </c>
      <c r="N15" s="57">
        <v>181.0</v>
      </c>
      <c r="O15" s="57">
        <v>122.5</v>
      </c>
      <c r="P15" s="57">
        <v>170.0</v>
      </c>
      <c r="Q15" s="57">
        <v>154.0</v>
      </c>
      <c r="R15" s="30"/>
      <c r="S15" s="30"/>
      <c r="T15" s="30"/>
    </row>
    <row r="16" ht="14.25" customHeight="1">
      <c r="A16" s="169">
        <v>14.0</v>
      </c>
      <c r="B16" s="57">
        <v>310.0</v>
      </c>
      <c r="C16" s="57">
        <v>157.5</v>
      </c>
      <c r="D16" s="57">
        <v>330.5</v>
      </c>
      <c r="E16" s="132">
        <v>0.0</v>
      </c>
      <c r="F16" s="57">
        <v>132.0</v>
      </c>
      <c r="G16" s="132">
        <v>64.0</v>
      </c>
      <c r="H16" s="57">
        <v>101.0</v>
      </c>
      <c r="I16" s="57">
        <v>163.0</v>
      </c>
      <c r="J16" s="57">
        <v>156.5</v>
      </c>
      <c r="K16" s="57">
        <v>120.0</v>
      </c>
      <c r="L16" s="57">
        <v>108.5</v>
      </c>
      <c r="M16" s="57">
        <v>158.0</v>
      </c>
      <c r="N16" s="57">
        <v>117.0</v>
      </c>
      <c r="O16" s="57">
        <v>190.0</v>
      </c>
      <c r="P16" s="57">
        <v>268.0</v>
      </c>
      <c r="Q16" s="57">
        <v>196.0</v>
      </c>
      <c r="R16" s="30"/>
      <c r="S16" s="30"/>
      <c r="T16" s="30"/>
    </row>
    <row r="17" ht="14.25" customHeight="1">
      <c r="A17" s="169">
        <v>15.0</v>
      </c>
      <c r="B17" s="57">
        <v>277.0</v>
      </c>
      <c r="C17" s="132">
        <v>100.0</v>
      </c>
      <c r="D17" s="132">
        <v>0.0</v>
      </c>
      <c r="E17" s="57">
        <v>116.0</v>
      </c>
      <c r="F17" s="57">
        <v>101.0</v>
      </c>
      <c r="G17" s="132">
        <v>104.0</v>
      </c>
      <c r="H17" s="132">
        <v>0.0</v>
      </c>
      <c r="I17" s="57">
        <v>100.0</v>
      </c>
      <c r="J17" s="132">
        <v>59.0</v>
      </c>
      <c r="K17" s="57">
        <v>100.0</v>
      </c>
      <c r="L17" s="57">
        <v>0.0</v>
      </c>
      <c r="M17" s="57">
        <v>173.0</v>
      </c>
      <c r="N17" s="132">
        <v>30.0</v>
      </c>
      <c r="O17" s="57">
        <v>153.0</v>
      </c>
      <c r="P17" s="57">
        <v>287.0</v>
      </c>
      <c r="Q17" s="57">
        <v>121.5</v>
      </c>
      <c r="R17" s="57"/>
      <c r="S17" s="30"/>
      <c r="T17" s="30"/>
    </row>
    <row r="18" ht="14.25" customHeight="1">
      <c r="A18" s="169">
        <v>16.0</v>
      </c>
      <c r="B18" s="57">
        <v>197.0</v>
      </c>
      <c r="C18" s="57">
        <v>209.0</v>
      </c>
      <c r="D18" s="132">
        <v>0.0</v>
      </c>
      <c r="E18" s="57">
        <f>104</f>
        <v>104</v>
      </c>
      <c r="F18" s="57">
        <v>156.0</v>
      </c>
      <c r="G18" s="57">
        <v>154.5</v>
      </c>
      <c r="H18" s="57">
        <v>108.0</v>
      </c>
      <c r="I18" s="132">
        <v>29.0</v>
      </c>
      <c r="J18" s="57">
        <v>173.5</v>
      </c>
      <c r="K18" s="57">
        <v>196.0</v>
      </c>
      <c r="L18" s="57">
        <v>41.0</v>
      </c>
      <c r="M18" s="57">
        <v>224.0</v>
      </c>
      <c r="N18" s="57">
        <v>123.0</v>
      </c>
      <c r="O18" s="57">
        <v>159.0</v>
      </c>
      <c r="P18" s="57">
        <v>198.0</v>
      </c>
      <c r="Q18" s="57">
        <v>160.0</v>
      </c>
      <c r="R18" s="57"/>
      <c r="S18" s="30"/>
      <c r="T18" s="30"/>
    </row>
    <row r="19" ht="14.25" customHeight="1">
      <c r="A19" s="169">
        <v>17.0</v>
      </c>
      <c r="B19" s="57">
        <v>280.0</v>
      </c>
      <c r="C19" s="57">
        <v>210.0</v>
      </c>
      <c r="D19" s="57">
        <v>221.5</v>
      </c>
      <c r="E19" s="57">
        <v>102.0</v>
      </c>
      <c r="F19" s="57">
        <v>101.0</v>
      </c>
      <c r="G19" s="57">
        <v>113.0</v>
      </c>
      <c r="H19" s="153">
        <v>40.0</v>
      </c>
      <c r="I19" s="57">
        <v>100.0</v>
      </c>
      <c r="J19" s="57">
        <v>178.5</v>
      </c>
      <c r="K19" s="57">
        <v>300.0</v>
      </c>
      <c r="L19" s="57">
        <v>0.0</v>
      </c>
      <c r="M19" s="57">
        <v>140.5</v>
      </c>
      <c r="N19" s="153">
        <v>92.5</v>
      </c>
      <c r="O19" s="57">
        <v>125.5</v>
      </c>
      <c r="P19" s="57">
        <v>334.0</v>
      </c>
      <c r="Q19" s="146">
        <v>0.0</v>
      </c>
      <c r="R19" s="30"/>
      <c r="S19" s="30"/>
      <c r="T19" s="30"/>
    </row>
    <row r="20" ht="14.25" customHeight="1">
      <c r="A20" s="169">
        <v>18.0</v>
      </c>
      <c r="B20" s="57">
        <v>206.0</v>
      </c>
      <c r="C20" s="132">
        <v>45.0</v>
      </c>
      <c r="D20" s="132">
        <v>0.0</v>
      </c>
      <c r="E20" s="57">
        <v>108.0</v>
      </c>
      <c r="F20" s="132">
        <v>0.0</v>
      </c>
      <c r="G20" s="57">
        <v>110.5</v>
      </c>
      <c r="H20" s="153">
        <v>51.0</v>
      </c>
      <c r="I20" s="57">
        <v>49.0</v>
      </c>
      <c r="J20" s="57">
        <v>162.5</v>
      </c>
      <c r="K20" s="57">
        <v>152.0</v>
      </c>
      <c r="L20" s="57">
        <v>0.0</v>
      </c>
      <c r="M20" s="57">
        <v>124.0</v>
      </c>
      <c r="N20" s="57">
        <v>130.5</v>
      </c>
      <c r="O20" s="132">
        <v>104.5</v>
      </c>
      <c r="P20" s="57">
        <v>135.0</v>
      </c>
      <c r="Q20" s="153">
        <v>97.0</v>
      </c>
      <c r="R20" s="30"/>
      <c r="S20" s="30"/>
      <c r="T20" s="30"/>
    </row>
    <row r="21" ht="14.25" customHeight="1">
      <c r="A21" s="169">
        <v>19.0</v>
      </c>
      <c r="B21" s="57">
        <v>209.5</v>
      </c>
      <c r="C21" s="57">
        <v>102.0</v>
      </c>
      <c r="D21" s="57">
        <v>131.5</v>
      </c>
      <c r="E21" s="57">
        <v>51.5</v>
      </c>
      <c r="F21" s="132">
        <v>0.0</v>
      </c>
      <c r="G21" s="57">
        <v>109.0</v>
      </c>
      <c r="H21" s="57">
        <v>121.0</v>
      </c>
      <c r="I21" s="132">
        <v>0.0</v>
      </c>
      <c r="J21" s="57">
        <v>159.0</v>
      </c>
      <c r="K21" s="57">
        <v>127.5</v>
      </c>
      <c r="L21" s="57">
        <v>0.0</v>
      </c>
      <c r="M21" s="57">
        <v>102.5</v>
      </c>
      <c r="N21" s="57">
        <v>128.0</v>
      </c>
      <c r="O21" s="57">
        <v>175.0</v>
      </c>
      <c r="P21" s="57">
        <v>114.0</v>
      </c>
      <c r="Q21" s="153">
        <v>96.0</v>
      </c>
      <c r="R21" s="30"/>
      <c r="S21" s="30"/>
      <c r="T21" s="30"/>
    </row>
    <row r="22" ht="14.25" customHeight="1">
      <c r="A22" s="169">
        <v>20.0</v>
      </c>
      <c r="B22" s="132">
        <v>177.0</v>
      </c>
      <c r="C22" s="57">
        <v>127.5</v>
      </c>
      <c r="D22" s="57">
        <v>100.5</v>
      </c>
      <c r="E22" s="57">
        <v>101.0</v>
      </c>
      <c r="F22" s="57">
        <v>102.0</v>
      </c>
      <c r="G22" s="57">
        <v>180.0</v>
      </c>
      <c r="H22" s="57">
        <v>101.0</v>
      </c>
      <c r="I22" s="57">
        <v>101.0</v>
      </c>
      <c r="J22" s="57">
        <v>166.3</v>
      </c>
      <c r="K22" s="132">
        <v>40.0</v>
      </c>
      <c r="L22" s="57">
        <v>0.0</v>
      </c>
      <c r="M22" s="57">
        <v>151.0</v>
      </c>
      <c r="N22" s="146">
        <v>0.0</v>
      </c>
      <c r="O22" s="57">
        <v>148.0</v>
      </c>
      <c r="P22" s="132">
        <v>103.0</v>
      </c>
      <c r="Q22" s="153">
        <v>72.0</v>
      </c>
      <c r="R22" s="30"/>
      <c r="S22" s="59"/>
      <c r="T22" s="30" t="s">
        <v>120</v>
      </c>
    </row>
    <row r="23" ht="14.25" customHeight="1">
      <c r="A23" s="169">
        <v>21.0</v>
      </c>
      <c r="B23" s="57">
        <v>239.0</v>
      </c>
      <c r="C23" s="57">
        <v>157.5</v>
      </c>
      <c r="D23" s="57">
        <v>148.5</v>
      </c>
      <c r="E23" s="57">
        <v>56.5</v>
      </c>
      <c r="F23" s="57">
        <v>101.0</v>
      </c>
      <c r="G23" s="57">
        <v>108.5</v>
      </c>
      <c r="H23" s="57">
        <v>101.0</v>
      </c>
      <c r="I23" s="57">
        <v>100.0</v>
      </c>
      <c r="J23" s="132">
        <v>119.0</v>
      </c>
      <c r="K23" s="57">
        <v>136.0</v>
      </c>
      <c r="L23" s="132">
        <v>0.0</v>
      </c>
      <c r="M23" s="57">
        <v>100.5</v>
      </c>
      <c r="N23" s="57">
        <v>133.5</v>
      </c>
      <c r="O23" s="57">
        <v>202.0</v>
      </c>
      <c r="P23" s="132">
        <v>100.0</v>
      </c>
      <c r="Q23" s="57">
        <v>157.0</v>
      </c>
      <c r="R23" s="30"/>
      <c r="S23" s="62"/>
      <c r="T23" s="30" t="s">
        <v>121</v>
      </c>
    </row>
    <row r="24" ht="14.25" customHeight="1">
      <c r="A24" s="169">
        <v>22.0</v>
      </c>
      <c r="B24" s="57">
        <v>264.5</v>
      </c>
      <c r="C24" s="57">
        <v>217.5</v>
      </c>
      <c r="D24" s="57">
        <v>186.0</v>
      </c>
      <c r="E24" s="57">
        <v>57.0</v>
      </c>
      <c r="F24" s="57">
        <v>103.0</v>
      </c>
      <c r="G24" s="57">
        <v>218.0</v>
      </c>
      <c r="H24" s="132">
        <v>0.0</v>
      </c>
      <c r="I24" s="57">
        <v>147.0</v>
      </c>
      <c r="J24" s="57">
        <v>129.0</v>
      </c>
      <c r="K24" s="57">
        <v>120.0</v>
      </c>
      <c r="L24" s="132">
        <v>0.0</v>
      </c>
      <c r="M24" s="146">
        <v>7.0</v>
      </c>
      <c r="N24" s="57">
        <v>103.0</v>
      </c>
      <c r="O24" s="57">
        <v>207.0</v>
      </c>
      <c r="P24" s="57">
        <v>143.0</v>
      </c>
      <c r="Q24" s="146">
        <v>0.0</v>
      </c>
      <c r="R24" s="30"/>
      <c r="S24" s="154"/>
      <c r="T24" s="30" t="s">
        <v>122</v>
      </c>
    </row>
    <row r="25" ht="14.25" customHeight="1">
      <c r="A25" s="169">
        <v>23.0</v>
      </c>
      <c r="B25" s="57">
        <v>243.0</v>
      </c>
      <c r="C25" s="57">
        <v>105.0</v>
      </c>
      <c r="D25" s="57">
        <v>114.5</v>
      </c>
      <c r="E25" s="57">
        <v>101.0</v>
      </c>
      <c r="F25" s="57">
        <v>102.0</v>
      </c>
      <c r="G25" s="57">
        <v>123.5</v>
      </c>
      <c r="H25" s="132">
        <v>0.0</v>
      </c>
      <c r="I25" s="146">
        <v>45.0</v>
      </c>
      <c r="J25" s="57">
        <v>163.0</v>
      </c>
      <c r="K25" s="57">
        <v>181.0</v>
      </c>
      <c r="L25" s="132">
        <v>0.0</v>
      </c>
      <c r="M25" s="132">
        <v>100.0</v>
      </c>
      <c r="N25" s="57">
        <v>124.0</v>
      </c>
      <c r="O25" s="57">
        <v>278.0</v>
      </c>
      <c r="P25" s="132">
        <v>100.0</v>
      </c>
      <c r="Q25" s="153">
        <v>61.0</v>
      </c>
      <c r="R25" s="30"/>
      <c r="S25" s="64"/>
      <c r="T25" s="30" t="s">
        <v>123</v>
      </c>
    </row>
    <row r="26" ht="14.25" customHeight="1">
      <c r="A26" s="66" t="s">
        <v>126</v>
      </c>
      <c r="B26" s="155">
        <f t="shared" ref="B26:Q26" si="1">SUM(B2:B25)</f>
        <v>5884</v>
      </c>
      <c r="C26" s="155">
        <f t="shared" si="1"/>
        <v>3138</v>
      </c>
      <c r="D26" s="155">
        <f t="shared" si="1"/>
        <v>5137</v>
      </c>
      <c r="E26" s="155">
        <f t="shared" si="1"/>
        <v>2170.5</v>
      </c>
      <c r="F26" s="155">
        <f t="shared" si="1"/>
        <v>2521</v>
      </c>
      <c r="G26" s="155">
        <f t="shared" si="1"/>
        <v>3821.4</v>
      </c>
      <c r="H26" s="155">
        <f t="shared" si="1"/>
        <v>2008</v>
      </c>
      <c r="I26" s="155">
        <f t="shared" si="1"/>
        <v>2969</v>
      </c>
      <c r="J26" s="155">
        <f t="shared" si="1"/>
        <v>3969.345238</v>
      </c>
      <c r="K26" s="155">
        <f t="shared" si="1"/>
        <v>2975.5</v>
      </c>
      <c r="L26" s="155">
        <f t="shared" si="1"/>
        <v>1690.5</v>
      </c>
      <c r="M26" s="155">
        <f t="shared" si="1"/>
        <v>3650.5</v>
      </c>
      <c r="N26" s="155">
        <f t="shared" si="1"/>
        <v>2566.5</v>
      </c>
      <c r="O26" s="155">
        <f t="shared" si="1"/>
        <v>4692</v>
      </c>
      <c r="P26" s="155">
        <f t="shared" si="1"/>
        <v>4989</v>
      </c>
      <c r="Q26" s="155">
        <f t="shared" si="1"/>
        <v>2146</v>
      </c>
      <c r="R26" s="30"/>
    </row>
    <row r="27" ht="14.25" customHeight="1">
      <c r="A27" s="156" t="s">
        <v>127</v>
      </c>
      <c r="B27" s="157">
        <f t="shared" ref="B27:Q27" si="2">AVERAGE(B2:B25)</f>
        <v>245.1666667</v>
      </c>
      <c r="C27" s="157">
        <f t="shared" si="2"/>
        <v>130.75</v>
      </c>
      <c r="D27" s="157">
        <f t="shared" si="2"/>
        <v>214.0416667</v>
      </c>
      <c r="E27" s="157">
        <f t="shared" si="2"/>
        <v>90.4375</v>
      </c>
      <c r="F27" s="157">
        <f t="shared" si="2"/>
        <v>105.0416667</v>
      </c>
      <c r="G27" s="157">
        <f t="shared" si="2"/>
        <v>159.225</v>
      </c>
      <c r="H27" s="157">
        <f t="shared" si="2"/>
        <v>83.66666667</v>
      </c>
      <c r="I27" s="157">
        <f t="shared" si="2"/>
        <v>123.7083333</v>
      </c>
      <c r="J27" s="157">
        <f t="shared" si="2"/>
        <v>165.3893849</v>
      </c>
      <c r="K27" s="157">
        <f t="shared" si="2"/>
        <v>123.9791667</v>
      </c>
      <c r="L27" s="157">
        <f t="shared" si="2"/>
        <v>70.4375</v>
      </c>
      <c r="M27" s="157">
        <f t="shared" si="2"/>
        <v>152.1041667</v>
      </c>
      <c r="N27" s="157">
        <f t="shared" si="2"/>
        <v>106.9375</v>
      </c>
      <c r="O27" s="157">
        <f t="shared" si="2"/>
        <v>195.5</v>
      </c>
      <c r="P27" s="157">
        <f t="shared" si="2"/>
        <v>207.875</v>
      </c>
      <c r="Q27" s="157">
        <f t="shared" si="2"/>
        <v>89.41666667</v>
      </c>
      <c r="R27" s="30"/>
      <c r="S27" s="30"/>
      <c r="T27" s="30"/>
    </row>
    <row r="28" ht="14.25" customHeight="1">
      <c r="A28" s="156" t="s">
        <v>128</v>
      </c>
      <c r="B28" s="157">
        <f>SUM(B22,B9,B7)</f>
        <v>533</v>
      </c>
      <c r="C28" s="157">
        <f>SUM(C20,C17,C11)</f>
        <v>245</v>
      </c>
      <c r="D28" s="157">
        <v>0.0</v>
      </c>
      <c r="E28" s="157">
        <v>0.0</v>
      </c>
      <c r="F28" s="157">
        <v>100.5</v>
      </c>
      <c r="G28" s="157">
        <f>SUM(G17,G16,G11)</f>
        <v>203.5</v>
      </c>
      <c r="H28" s="157">
        <v>0.0</v>
      </c>
      <c r="I28" s="157">
        <f>SUM(I25,I21,I18)</f>
        <v>74</v>
      </c>
      <c r="J28" s="157">
        <f>SUM(J23,J17,J8)</f>
        <v>295.75</v>
      </c>
      <c r="K28" s="157">
        <v>40.0</v>
      </c>
      <c r="L28" s="157">
        <v>0.0</v>
      </c>
      <c r="M28" s="157">
        <f>SUM(M25,M24,M12)</f>
        <v>207</v>
      </c>
      <c r="N28" s="157">
        <v>30.0</v>
      </c>
      <c r="O28" s="157">
        <f>SUM(O20,O14,O11)</f>
        <v>307</v>
      </c>
      <c r="P28" s="157">
        <f>SUM(P25,P23,P22)</f>
        <v>303</v>
      </c>
      <c r="Q28" s="157">
        <v>0.0</v>
      </c>
      <c r="R28" s="30"/>
      <c r="S28" s="30"/>
      <c r="T28" s="30"/>
    </row>
    <row r="29" ht="14.25" customHeight="1">
      <c r="A29" s="156" t="s">
        <v>129</v>
      </c>
      <c r="B29" s="158">
        <v>300.0</v>
      </c>
      <c r="C29" s="158">
        <v>0.0</v>
      </c>
      <c r="D29" s="158">
        <v>0.0</v>
      </c>
      <c r="E29" s="158">
        <v>0.0</v>
      </c>
      <c r="F29" s="158">
        <v>0.0</v>
      </c>
      <c r="G29" s="158">
        <v>0.0</v>
      </c>
      <c r="H29" s="158">
        <v>0.0</v>
      </c>
      <c r="I29" s="158">
        <v>0.0</v>
      </c>
      <c r="J29" s="158">
        <v>0.0</v>
      </c>
      <c r="K29" s="158">
        <v>0.0</v>
      </c>
      <c r="L29" s="158">
        <v>0.0</v>
      </c>
      <c r="M29" s="158">
        <v>0.0</v>
      </c>
      <c r="N29" s="158">
        <v>0.0</v>
      </c>
      <c r="O29" s="158">
        <v>300.0</v>
      </c>
      <c r="P29" s="158">
        <v>300.0</v>
      </c>
      <c r="Q29" s="158">
        <v>0.0</v>
      </c>
      <c r="R29" s="30"/>
      <c r="S29" s="30"/>
      <c r="T29" s="30"/>
    </row>
    <row r="30" ht="14.25" customHeight="1">
      <c r="A30" s="66" t="s">
        <v>130</v>
      </c>
      <c r="B30" s="155">
        <f t="shared" ref="B30:Q30" si="3">B26-B28+B29</f>
        <v>5651</v>
      </c>
      <c r="C30" s="155">
        <f t="shared" si="3"/>
        <v>2893</v>
      </c>
      <c r="D30" s="155">
        <f t="shared" si="3"/>
        <v>5137</v>
      </c>
      <c r="E30" s="155">
        <f t="shared" si="3"/>
        <v>2170.5</v>
      </c>
      <c r="F30" s="155">
        <f t="shared" si="3"/>
        <v>2420.5</v>
      </c>
      <c r="G30" s="155">
        <f t="shared" si="3"/>
        <v>3617.9</v>
      </c>
      <c r="H30" s="155">
        <f t="shared" si="3"/>
        <v>2008</v>
      </c>
      <c r="I30" s="155">
        <f t="shared" si="3"/>
        <v>2895</v>
      </c>
      <c r="J30" s="155">
        <f t="shared" si="3"/>
        <v>3673.595238</v>
      </c>
      <c r="K30" s="155">
        <f t="shared" si="3"/>
        <v>2935.5</v>
      </c>
      <c r="L30" s="155">
        <f t="shared" si="3"/>
        <v>1690.5</v>
      </c>
      <c r="M30" s="155">
        <f t="shared" si="3"/>
        <v>3443.5</v>
      </c>
      <c r="N30" s="155">
        <f t="shared" si="3"/>
        <v>2536.5</v>
      </c>
      <c r="O30" s="155">
        <f t="shared" si="3"/>
        <v>4685</v>
      </c>
      <c r="P30" s="155">
        <f t="shared" si="3"/>
        <v>4986</v>
      </c>
      <c r="Q30" s="155">
        <f t="shared" si="3"/>
        <v>2146</v>
      </c>
      <c r="R30" s="30"/>
      <c r="S30" s="30"/>
      <c r="T30" s="30"/>
    </row>
    <row r="31" ht="14.25" customHeight="1">
      <c r="A31" s="159" t="s">
        <v>131</v>
      </c>
      <c r="B31" s="160">
        <f>RANK(B30,B30:Q30)</f>
        <v>1</v>
      </c>
      <c r="C31" s="160">
        <f>RANK(C30,B30:Q30)</f>
        <v>10</v>
      </c>
      <c r="D31" s="160">
        <f>RANK(D30,B30:Q30)</f>
        <v>2</v>
      </c>
      <c r="E31" s="160">
        <f>RANK(E30,B30:Q30)</f>
        <v>13</v>
      </c>
      <c r="F31" s="160">
        <f>RANK(F30,B30:Q30)</f>
        <v>12</v>
      </c>
      <c r="G31" s="160">
        <f>RANK(G30,B30:Q30)</f>
        <v>6</v>
      </c>
      <c r="H31" s="160">
        <f>RANK(H30,B30:Q30)</f>
        <v>15</v>
      </c>
      <c r="I31" s="160">
        <f>RANK(I30,B30:Q30)</f>
        <v>9</v>
      </c>
      <c r="J31" s="160">
        <f>RANK(J30,B30:Q30)</f>
        <v>5</v>
      </c>
      <c r="K31" s="160">
        <f>RANK(K30,B30:Q30)</f>
        <v>8</v>
      </c>
      <c r="L31" s="160">
        <f>RANK(L30,B30:Q30)</f>
        <v>16</v>
      </c>
      <c r="M31" s="160">
        <f>RANK(M30,B30:Q30)</f>
        <v>7</v>
      </c>
      <c r="N31" s="160">
        <f>RANK(N30,B30:Q30)</f>
        <v>11</v>
      </c>
      <c r="O31" s="160">
        <f>RANK(O30,B30:Q30)</f>
        <v>4</v>
      </c>
      <c r="P31" s="160">
        <f>RANK(P30,B30:Q30)</f>
        <v>3</v>
      </c>
      <c r="Q31" s="160">
        <f>RANK(Q30,B30:Q30)</f>
        <v>14</v>
      </c>
      <c r="R31" s="30"/>
      <c r="S31" s="30"/>
      <c r="T31" s="30"/>
    </row>
    <row r="32" ht="14.25" customHeight="1">
      <c r="A32" s="156" t="s">
        <v>132</v>
      </c>
      <c r="B32" s="161">
        <v>0.0</v>
      </c>
      <c r="C32" s="161">
        <v>50.0</v>
      </c>
      <c r="D32" s="161">
        <v>0.0</v>
      </c>
      <c r="E32" s="161">
        <v>1050.0</v>
      </c>
      <c r="F32" s="161">
        <v>0.0</v>
      </c>
      <c r="G32" s="161">
        <v>0.0</v>
      </c>
      <c r="H32" s="161">
        <v>650.0</v>
      </c>
      <c r="I32" s="161">
        <v>50.0</v>
      </c>
      <c r="J32" s="161">
        <f>30+30</f>
        <v>60</v>
      </c>
      <c r="K32" s="161">
        <v>0.0</v>
      </c>
      <c r="L32" s="161">
        <v>0.0</v>
      </c>
      <c r="M32" s="161">
        <v>100.0</v>
      </c>
      <c r="N32" s="161">
        <v>1800.0</v>
      </c>
      <c r="O32" s="161">
        <v>0.0</v>
      </c>
      <c r="P32" s="161">
        <v>0.0</v>
      </c>
      <c r="Q32" s="161">
        <v>3030.0</v>
      </c>
      <c r="R32" s="30"/>
      <c r="S32" s="30"/>
    </row>
    <row r="33" ht="14.25" customHeight="1">
      <c r="A33" s="156" t="s">
        <v>133</v>
      </c>
      <c r="B33" s="161">
        <v>0.0</v>
      </c>
      <c r="C33" s="161">
        <v>300.0</v>
      </c>
      <c r="D33" s="161">
        <v>0.0</v>
      </c>
      <c r="E33" s="161">
        <v>400.0</v>
      </c>
      <c r="F33" s="161">
        <v>300.0</v>
      </c>
      <c r="G33" s="161">
        <v>100.0</v>
      </c>
      <c r="H33" s="161">
        <v>400.0</v>
      </c>
      <c r="I33" s="161">
        <v>200.0</v>
      </c>
      <c r="J33" s="161">
        <v>100.0</v>
      </c>
      <c r="K33" s="161">
        <v>200.0</v>
      </c>
      <c r="L33" s="170" t="s">
        <v>229</v>
      </c>
      <c r="M33" s="161">
        <v>200.0</v>
      </c>
      <c r="N33" s="161">
        <v>300.0</v>
      </c>
      <c r="O33" s="161">
        <v>100.0</v>
      </c>
      <c r="P33" s="161">
        <v>0.0</v>
      </c>
      <c r="Q33" s="161">
        <v>400.0</v>
      </c>
      <c r="R33" s="30"/>
      <c r="S33" s="30"/>
      <c r="T33" s="79"/>
      <c r="U33" s="162"/>
    </row>
    <row r="34" ht="14.25" customHeight="1">
      <c r="A34" s="159" t="s">
        <v>134</v>
      </c>
      <c r="B34" s="171">
        <f t="shared" ref="B34:Q34" si="4">SUM(B32:B33)</f>
        <v>0</v>
      </c>
      <c r="C34" s="162">
        <f t="shared" si="4"/>
        <v>350</v>
      </c>
      <c r="D34" s="171">
        <f t="shared" si="4"/>
        <v>0</v>
      </c>
      <c r="E34" s="171">
        <f t="shared" si="4"/>
        <v>1450</v>
      </c>
      <c r="F34" s="171">
        <f t="shared" si="4"/>
        <v>300</v>
      </c>
      <c r="G34" s="171">
        <f t="shared" si="4"/>
        <v>100</v>
      </c>
      <c r="H34" s="171">
        <f t="shared" si="4"/>
        <v>1050</v>
      </c>
      <c r="I34" s="171">
        <f t="shared" si="4"/>
        <v>250</v>
      </c>
      <c r="J34" s="171">
        <f t="shared" si="4"/>
        <v>160</v>
      </c>
      <c r="K34" s="171">
        <f t="shared" si="4"/>
        <v>200</v>
      </c>
      <c r="L34" s="171">
        <f t="shared" si="4"/>
        <v>0</v>
      </c>
      <c r="M34" s="171">
        <f t="shared" si="4"/>
        <v>300</v>
      </c>
      <c r="N34" s="171">
        <f t="shared" si="4"/>
        <v>2100</v>
      </c>
      <c r="O34" s="171">
        <f t="shared" si="4"/>
        <v>100</v>
      </c>
      <c r="P34" s="171">
        <f t="shared" si="4"/>
        <v>0</v>
      </c>
      <c r="Q34" s="162">
        <f t="shared" si="4"/>
        <v>3430</v>
      </c>
      <c r="R34" s="30"/>
      <c r="S34" s="30"/>
      <c r="T34" s="159" t="s">
        <v>135</v>
      </c>
      <c r="U34" s="162">
        <f>SUM(B34:Q34)</f>
        <v>9790</v>
      </c>
      <c r="V34" s="31" t="s">
        <v>230</v>
      </c>
    </row>
    <row r="35" ht="14.25" customHeight="1">
      <c r="A35" s="69"/>
      <c r="B35" s="30"/>
      <c r="C35" s="30"/>
      <c r="D35" s="30"/>
      <c r="E35" s="30"/>
      <c r="F35" s="30"/>
      <c r="G35" s="30"/>
      <c r="H35" s="30"/>
      <c r="I35" s="30"/>
      <c r="J35" s="30"/>
      <c r="K35" s="57"/>
      <c r="L35" s="57"/>
      <c r="M35" s="57"/>
      <c r="N35" s="57"/>
      <c r="O35" s="57"/>
      <c r="P35" s="57"/>
      <c r="Q35" s="57"/>
      <c r="R35" s="30"/>
      <c r="S35" s="30"/>
      <c r="T35" s="30"/>
    </row>
    <row r="36" ht="14.25" customHeight="1">
      <c r="A36" s="164" t="s">
        <v>138</v>
      </c>
      <c r="B36" s="30"/>
      <c r="C36" s="30"/>
      <c r="D36" s="30"/>
      <c r="E36" s="30"/>
      <c r="F36" s="30"/>
      <c r="G36" s="30"/>
      <c r="H36" s="30"/>
      <c r="I36" s="30"/>
      <c r="J36" s="30"/>
      <c r="K36" s="57"/>
      <c r="L36" s="57"/>
      <c r="M36" s="57"/>
      <c r="N36" s="57"/>
      <c r="O36" s="57"/>
      <c r="P36" s="57"/>
      <c r="Q36" s="57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ht="14.25" customHeight="1">
      <c r="A37" s="51" t="s">
        <v>118</v>
      </c>
      <c r="B37" s="51" t="s">
        <v>139</v>
      </c>
      <c r="C37" s="51" t="s">
        <v>140</v>
      </c>
      <c r="D37" s="51" t="s">
        <v>231</v>
      </c>
      <c r="E37" s="51" t="s">
        <v>137</v>
      </c>
      <c r="F37" s="51" t="s">
        <v>232</v>
      </c>
      <c r="G37" s="51" t="s">
        <v>233</v>
      </c>
      <c r="H37" s="69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ht="14.25" customHeight="1">
      <c r="A38" s="169">
        <v>1.0</v>
      </c>
      <c r="B38" s="172" t="s">
        <v>167</v>
      </c>
      <c r="C38" s="165" t="s">
        <v>234</v>
      </c>
      <c r="D38" s="166" t="s">
        <v>235</v>
      </c>
      <c r="E38" s="165">
        <v>16.0</v>
      </c>
      <c r="F38" s="165" t="s">
        <v>235</v>
      </c>
      <c r="G38" s="165" t="s">
        <v>228</v>
      </c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ht="14.25" customHeight="1">
      <c r="A39" s="169">
        <v>2.0</v>
      </c>
      <c r="B39" s="165" t="s">
        <v>11</v>
      </c>
      <c r="C39" s="167" t="s">
        <v>236</v>
      </c>
      <c r="D39" s="165" t="s">
        <v>21</v>
      </c>
      <c r="E39" s="165">
        <v>129.0</v>
      </c>
      <c r="F39" s="165" t="s">
        <v>2</v>
      </c>
      <c r="G39" s="165" t="s">
        <v>11</v>
      </c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ht="14.25" customHeight="1">
      <c r="A40" s="169">
        <v>3.0</v>
      </c>
      <c r="B40" s="165" t="s">
        <v>2</v>
      </c>
      <c r="C40" s="166" t="s">
        <v>237</v>
      </c>
      <c r="D40" s="165" t="s">
        <v>2</v>
      </c>
      <c r="E40" s="165">
        <v>4842.0</v>
      </c>
      <c r="F40" s="165" t="s">
        <v>5</v>
      </c>
      <c r="G40" s="165" t="s">
        <v>3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ht="14.25" customHeight="1">
      <c r="A41" s="169">
        <v>4.0</v>
      </c>
      <c r="B41" s="165" t="s">
        <v>21</v>
      </c>
      <c r="C41" s="166" t="s">
        <v>238</v>
      </c>
      <c r="D41" s="165" t="s">
        <v>26</v>
      </c>
      <c r="E41" s="165" t="s">
        <v>26</v>
      </c>
      <c r="F41" s="165" t="s">
        <v>26</v>
      </c>
      <c r="G41" s="165" t="s">
        <v>239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 ht="14.25" customHeight="1">
      <c r="A42" s="169">
        <v>5.0</v>
      </c>
      <c r="B42" s="165" t="s">
        <v>12</v>
      </c>
      <c r="C42" s="166" t="s">
        <v>240</v>
      </c>
      <c r="D42" s="165" t="s">
        <v>12</v>
      </c>
      <c r="E42" s="165">
        <v>4.0</v>
      </c>
      <c r="F42" s="165" t="s">
        <v>9</v>
      </c>
      <c r="G42" s="165" t="s">
        <v>2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 ht="14.25" customHeight="1">
      <c r="A43" s="169">
        <v>6.0</v>
      </c>
      <c r="B43" s="165" t="s">
        <v>4</v>
      </c>
      <c r="C43" s="166" t="s">
        <v>75</v>
      </c>
      <c r="D43" s="165" t="s">
        <v>7</v>
      </c>
      <c r="E43" s="165">
        <v>101.0</v>
      </c>
      <c r="F43" s="165" t="s">
        <v>241</v>
      </c>
      <c r="G43" s="165" t="s">
        <v>241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 ht="14.25" customHeight="1">
      <c r="A44" s="169">
        <v>7.0</v>
      </c>
      <c r="B44" s="165" t="s">
        <v>20</v>
      </c>
      <c r="C44" s="166" t="s">
        <v>242</v>
      </c>
      <c r="D44" s="165" t="s">
        <v>3</v>
      </c>
      <c r="E44" s="165">
        <v>140.0</v>
      </c>
      <c r="F44" s="165" t="s">
        <v>11</v>
      </c>
      <c r="G44" s="165" t="s">
        <v>4</v>
      </c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 ht="14.25" customHeight="1">
      <c r="A45" s="169">
        <v>8.0</v>
      </c>
      <c r="B45" s="165" t="s">
        <v>17</v>
      </c>
      <c r="C45" s="166" t="s">
        <v>243</v>
      </c>
      <c r="D45" s="165" t="s">
        <v>17</v>
      </c>
      <c r="E45" s="165">
        <v>129.0</v>
      </c>
      <c r="F45" s="165" t="s">
        <v>4</v>
      </c>
      <c r="G45" s="165" t="s">
        <v>5</v>
      </c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 ht="14.25" customHeight="1">
      <c r="A46" s="169">
        <v>9.0</v>
      </c>
      <c r="B46" s="165" t="s">
        <v>8</v>
      </c>
      <c r="C46" s="166" t="s">
        <v>41</v>
      </c>
      <c r="D46" s="165" t="s">
        <v>3</v>
      </c>
      <c r="E46" s="165">
        <v>116.0</v>
      </c>
      <c r="F46" s="165" t="s">
        <v>8</v>
      </c>
      <c r="G46" s="165" t="s">
        <v>0</v>
      </c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 ht="14.25" customHeight="1">
      <c r="A47" s="169">
        <v>10.0</v>
      </c>
      <c r="B47" s="165" t="s">
        <v>14</v>
      </c>
      <c r="C47" s="166" t="s">
        <v>244</v>
      </c>
      <c r="D47" s="165" t="s">
        <v>3</v>
      </c>
      <c r="E47" s="165">
        <v>40.0</v>
      </c>
      <c r="F47" s="165" t="s">
        <v>26</v>
      </c>
      <c r="G47" s="165" t="s">
        <v>26</v>
      </c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 ht="14.25" customHeight="1">
      <c r="A48" s="169">
        <v>11.0</v>
      </c>
      <c r="B48" s="165" t="s">
        <v>228</v>
      </c>
      <c r="C48" s="166" t="s">
        <v>38</v>
      </c>
      <c r="D48" s="165" t="s">
        <v>228</v>
      </c>
      <c r="E48" s="165" t="s">
        <v>245</v>
      </c>
      <c r="F48" s="165" t="s">
        <v>2</v>
      </c>
      <c r="G48" s="165" t="s">
        <v>0</v>
      </c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 ht="14.25" customHeight="1">
      <c r="A49" s="169">
        <v>12.0</v>
      </c>
      <c r="B49" s="165" t="s">
        <v>7</v>
      </c>
      <c r="C49" s="166" t="s">
        <v>182</v>
      </c>
      <c r="D49" s="165" t="s">
        <v>7</v>
      </c>
      <c r="E49" s="173">
        <v>1.2270833333333333</v>
      </c>
      <c r="F49" s="165" t="s">
        <v>2</v>
      </c>
      <c r="G49" s="165" t="s">
        <v>26</v>
      </c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 ht="14.25" customHeight="1">
      <c r="A50" s="169">
        <v>13.0</v>
      </c>
      <c r="B50" s="165" t="s">
        <v>5</v>
      </c>
      <c r="C50" s="166" t="s">
        <v>246</v>
      </c>
      <c r="D50" s="165" t="s">
        <v>5</v>
      </c>
      <c r="E50" s="165">
        <v>1070.0</v>
      </c>
      <c r="F50" s="165" t="s">
        <v>8</v>
      </c>
      <c r="G50" s="165" t="s">
        <v>7</v>
      </c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 ht="14.25" customHeight="1">
      <c r="A51" s="169">
        <v>14.0</v>
      </c>
      <c r="B51" s="165" t="s">
        <v>9</v>
      </c>
      <c r="C51" s="166" t="s">
        <v>247</v>
      </c>
      <c r="D51" s="165" t="s">
        <v>248</v>
      </c>
      <c r="E51" s="165" t="s">
        <v>26</v>
      </c>
      <c r="F51" s="165" t="s">
        <v>26</v>
      </c>
      <c r="G51" s="165" t="s">
        <v>26</v>
      </c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 ht="14.25" customHeight="1">
      <c r="A52" s="169">
        <v>15.0</v>
      </c>
      <c r="B52" s="165" t="s">
        <v>3</v>
      </c>
      <c r="C52" s="166" t="s">
        <v>249</v>
      </c>
      <c r="D52" s="165" t="s">
        <v>3</v>
      </c>
      <c r="E52" s="165">
        <v>65.0</v>
      </c>
      <c r="F52" s="165" t="s">
        <v>26</v>
      </c>
      <c r="G52" s="165" t="s">
        <v>26</v>
      </c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 ht="14.25" customHeight="1">
      <c r="A53" s="169">
        <v>16.0</v>
      </c>
      <c r="B53" s="174" t="s">
        <v>16</v>
      </c>
      <c r="C53" s="165" t="s">
        <v>250</v>
      </c>
      <c r="D53" s="165" t="s">
        <v>239</v>
      </c>
      <c r="E53" s="165"/>
      <c r="F53" s="165"/>
      <c r="G53" s="165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 ht="14.25" customHeight="1">
      <c r="A54" s="169">
        <v>17.0</v>
      </c>
      <c r="B54" s="165" t="s">
        <v>21</v>
      </c>
      <c r="C54" s="165" t="s">
        <v>251</v>
      </c>
      <c r="D54" s="165" t="s">
        <v>252</v>
      </c>
      <c r="E54" s="165"/>
      <c r="F54" s="165"/>
      <c r="G54" s="165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 ht="14.25" customHeight="1">
      <c r="A55" s="169">
        <v>18.0</v>
      </c>
      <c r="B55" s="165" t="s">
        <v>12</v>
      </c>
      <c r="C55" s="165" t="s">
        <v>253</v>
      </c>
      <c r="D55" s="165" t="s">
        <v>21</v>
      </c>
      <c r="E55" s="165" t="s">
        <v>254</v>
      </c>
      <c r="F55" s="165" t="s">
        <v>7</v>
      </c>
      <c r="G55" s="165" t="s">
        <v>8</v>
      </c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 ht="14.25" customHeight="1">
      <c r="A56" s="169">
        <v>19.0</v>
      </c>
      <c r="B56" s="165" t="s">
        <v>9</v>
      </c>
      <c r="C56" s="165" t="s">
        <v>38</v>
      </c>
      <c r="D56" s="165" t="s">
        <v>9</v>
      </c>
      <c r="E56" s="165">
        <v>87.0</v>
      </c>
      <c r="F56" s="165" t="s">
        <v>20</v>
      </c>
      <c r="G56" s="165" t="s">
        <v>0</v>
      </c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 ht="14.25" customHeight="1">
      <c r="A57" s="169">
        <v>20.0</v>
      </c>
      <c r="B57" s="165" t="s">
        <v>11</v>
      </c>
      <c r="C57" s="165" t="s">
        <v>26</v>
      </c>
      <c r="D57" s="165" t="s">
        <v>26</v>
      </c>
      <c r="E57" s="165" t="s">
        <v>26</v>
      </c>
      <c r="F57" s="165" t="s">
        <v>26</v>
      </c>
      <c r="G57" s="165" t="s">
        <v>26</v>
      </c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 ht="14.25" customHeight="1">
      <c r="A58" s="169">
        <v>21.0</v>
      </c>
      <c r="B58" s="165" t="s">
        <v>2</v>
      </c>
      <c r="C58" s="165" t="s">
        <v>255</v>
      </c>
      <c r="D58" s="165" t="s">
        <v>16</v>
      </c>
      <c r="E58" s="165">
        <v>29.0</v>
      </c>
      <c r="F58" s="165" t="s">
        <v>2</v>
      </c>
      <c r="G58" s="165" t="s">
        <v>9</v>
      </c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 ht="14.25" customHeight="1">
      <c r="A59" s="169">
        <v>22.0</v>
      </c>
      <c r="B59" s="168" t="s">
        <v>3</v>
      </c>
      <c r="C59" s="165" t="s">
        <v>75</v>
      </c>
      <c r="D59" s="165" t="s">
        <v>4</v>
      </c>
      <c r="E59" s="165">
        <v>75.0</v>
      </c>
      <c r="F59" s="165" t="s">
        <v>17</v>
      </c>
      <c r="G59" s="165" t="s">
        <v>0</v>
      </c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 ht="14.25" customHeight="1">
      <c r="A60" s="169">
        <v>23.0</v>
      </c>
      <c r="B60" s="165" t="s">
        <v>14</v>
      </c>
      <c r="C60" s="166" t="s">
        <v>256</v>
      </c>
      <c r="D60" s="165" t="s">
        <v>9</v>
      </c>
      <c r="E60" s="165">
        <v>45.0</v>
      </c>
      <c r="F60" s="165" t="s">
        <v>0</v>
      </c>
      <c r="G60" s="165" t="s">
        <v>14</v>
      </c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 ht="14.25" customHeight="1">
      <c r="A61" s="89"/>
      <c r="B61" s="89"/>
      <c r="C61" s="30"/>
      <c r="D61" s="89"/>
      <c r="E61" s="89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 ht="14.2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 ht="14.2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 ht="14.2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 ht="14.2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90"/>
      <c r="N65" s="30"/>
      <c r="O65" s="30"/>
      <c r="P65" s="30"/>
      <c r="Q65" s="30"/>
      <c r="R65" s="30"/>
      <c r="S65" s="30"/>
      <c r="T65" s="30"/>
    </row>
    <row r="66" ht="14.2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</row>
    <row r="67" ht="14.2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</row>
    <row r="68" ht="14.2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</row>
    <row r="69" ht="14.2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</row>
    <row r="70" ht="14.2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</row>
    <row r="71" ht="14.2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</row>
    <row r="72" ht="14.2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</row>
    <row r="73" ht="14.2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</row>
    <row r="74" ht="14.2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</row>
    <row r="75" ht="14.2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</row>
    <row r="76" ht="14.2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</row>
    <row r="77" ht="14.2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</row>
    <row r="78" ht="14.2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</row>
    <row r="79" ht="14.2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</row>
    <row r="80" ht="14.2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</row>
    <row r="81" ht="14.2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</row>
    <row r="82" ht="14.2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</row>
    <row r="83" ht="14.2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</row>
    <row r="84" ht="14.2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</row>
    <row r="85" ht="14.2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</row>
    <row r="86" ht="14.2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</row>
    <row r="87" ht="14.2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</row>
    <row r="88" ht="14.2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</row>
    <row r="89" ht="14.2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</row>
    <row r="90" ht="14.2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</row>
    <row r="91" ht="14.2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</row>
    <row r="92" ht="14.2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</row>
    <row r="93" ht="14.2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</row>
    <row r="94" ht="14.2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</row>
    <row r="95" ht="14.2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</row>
    <row r="96" ht="14.2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</row>
    <row r="97" ht="14.2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</row>
    <row r="98" ht="14.2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</row>
    <row r="99" ht="14.2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</row>
    <row r="100" ht="14.2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</row>
    <row r="101" ht="14.2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</row>
    <row r="102" ht="14.2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</row>
    <row r="103" ht="14.2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</row>
    <row r="104" ht="14.2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</row>
    <row r="105" ht="14.2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</row>
    <row r="106" ht="14.2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</row>
    <row r="107" ht="14.2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</row>
    <row r="108" ht="14.2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</row>
    <row r="109" ht="14.2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</row>
    <row r="110" ht="14.2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</row>
    <row r="111" ht="14.2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</row>
    <row r="112" ht="14.2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</row>
    <row r="113" ht="14.2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</row>
    <row r="114" ht="14.2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</row>
    <row r="115" ht="14.2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</row>
    <row r="116" ht="14.2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</row>
    <row r="117" ht="14.2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</row>
    <row r="118" ht="14.2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</row>
    <row r="119" ht="14.2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</row>
    <row r="120" ht="14.2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</row>
    <row r="121" ht="14.2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</row>
    <row r="122" ht="14.2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</row>
    <row r="123" ht="14.2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</row>
    <row r="124" ht="14.2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</row>
    <row r="125" ht="14.2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</row>
    <row r="126" ht="14.2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</row>
    <row r="127" ht="14.2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</row>
    <row r="128" ht="14.2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</row>
    <row r="129" ht="14.2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</row>
    <row r="130" ht="14.2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</row>
    <row r="131" ht="14.2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</row>
    <row r="132" ht="14.2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</row>
    <row r="133" ht="14.2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</row>
    <row r="134" ht="14.2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</row>
    <row r="135" ht="14.2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</row>
    <row r="136" ht="14.2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</row>
    <row r="137" ht="14.2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</row>
    <row r="138" ht="14.2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</row>
    <row r="139" ht="14.2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</row>
    <row r="140" ht="14.2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</row>
    <row r="141" ht="14.2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</row>
    <row r="142" ht="14.2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</row>
    <row r="143" ht="14.2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</row>
    <row r="144" ht="14.2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</row>
    <row r="145" ht="14.2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</row>
    <row r="146" ht="14.2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</row>
    <row r="147" ht="14.2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</row>
    <row r="148" ht="14.2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</row>
    <row r="149" ht="14.2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</row>
    <row r="150" ht="14.2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</row>
    <row r="151" ht="14.2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</row>
    <row r="152" ht="14.2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</row>
    <row r="153" ht="14.2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</row>
    <row r="154" ht="14.2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</row>
    <row r="155" ht="14.2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</row>
    <row r="156" ht="14.2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</row>
    <row r="157" ht="14.2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</row>
    <row r="158" ht="14.2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</row>
    <row r="159" ht="14.2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</row>
    <row r="160" ht="14.2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</row>
    <row r="161" ht="14.2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</row>
    <row r="162" ht="14.2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</row>
    <row r="163" ht="14.2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</row>
    <row r="164" ht="14.2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</row>
    <row r="165" ht="14.2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</row>
    <row r="166" ht="14.2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</row>
    <row r="167" ht="14.2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</row>
    <row r="168" ht="14.2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</row>
    <row r="169" ht="14.2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</row>
    <row r="170" ht="14.2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</row>
    <row r="171" ht="14.2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</row>
    <row r="172" ht="14.2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</row>
    <row r="173" ht="14.2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</row>
    <row r="174" ht="14.2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</row>
    <row r="175" ht="14.2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</row>
    <row r="176" ht="14.2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</row>
    <row r="177" ht="14.2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</row>
    <row r="178" ht="14.2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</row>
    <row r="179" ht="14.2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</row>
    <row r="180" ht="14.2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</row>
    <row r="181" ht="14.2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</row>
    <row r="182" ht="14.2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</row>
    <row r="183" ht="14.2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</row>
    <row r="184" ht="14.2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</row>
    <row r="185" ht="14.2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</row>
    <row r="186" ht="14.2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</row>
    <row r="187" ht="14.2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</row>
    <row r="188" ht="14.2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</row>
    <row r="189" ht="14.2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</row>
    <row r="190" ht="14.2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</row>
    <row r="191" ht="14.2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</row>
    <row r="192" ht="14.2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</row>
    <row r="193" ht="14.2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</row>
    <row r="194" ht="14.2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</row>
    <row r="195" ht="14.2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</row>
    <row r="196" ht="14.2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</row>
    <row r="197" ht="14.2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</row>
    <row r="198" ht="14.2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</row>
    <row r="199" ht="14.2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</row>
    <row r="200" ht="14.2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</row>
    <row r="201" ht="14.2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</row>
    <row r="202" ht="14.2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</row>
    <row r="203" ht="14.2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</row>
    <row r="204" ht="14.2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</row>
    <row r="205" ht="14.2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</row>
    <row r="206" ht="14.2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</row>
    <row r="207" ht="14.2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</row>
    <row r="208" ht="14.2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</row>
    <row r="209" ht="14.2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</row>
    <row r="210" ht="14.2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</row>
    <row r="211" ht="14.2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</row>
    <row r="212" ht="14.2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</row>
    <row r="213" ht="14.2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</row>
    <row r="214" ht="14.2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</row>
    <row r="215" ht="14.2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</row>
    <row r="216" ht="14.2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</row>
    <row r="217" ht="14.2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</row>
    <row r="218" ht="14.2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</row>
    <row r="219" ht="14.2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</row>
    <row r="220" ht="14.2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</row>
    <row r="221" ht="14.2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</row>
    <row r="222" ht="14.2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</row>
    <row r="223" ht="14.2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</row>
    <row r="224" ht="14.2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</row>
    <row r="225" ht="14.2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</row>
    <row r="226" ht="14.2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</row>
    <row r="227" ht="14.2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</row>
    <row r="228" ht="14.2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</row>
    <row r="229" ht="14.2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</row>
    <row r="230" ht="14.2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</row>
    <row r="231" ht="14.2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</row>
    <row r="232" ht="14.2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16" width="8.25"/>
    <col customWidth="1" min="17" max="17" width="2.75"/>
    <col customWidth="1" min="18" max="18" width="2.63"/>
    <col customWidth="1" min="19" max="19" width="19.13"/>
    <col customWidth="1" min="20" max="26" width="14.38"/>
  </cols>
  <sheetData>
    <row r="1" ht="14.25" customHeight="1">
      <c r="A1" s="51"/>
      <c r="B1" s="51" t="s">
        <v>167</v>
      </c>
      <c r="C1" s="51" t="s">
        <v>11</v>
      </c>
      <c r="D1" s="51" t="s">
        <v>2</v>
      </c>
      <c r="E1" s="51" t="s">
        <v>21</v>
      </c>
      <c r="F1" s="51" t="s">
        <v>257</v>
      </c>
      <c r="G1" s="51" t="s">
        <v>12</v>
      </c>
      <c r="H1" s="51" t="s">
        <v>4</v>
      </c>
      <c r="I1" s="51" t="s">
        <v>20</v>
      </c>
      <c r="J1" s="51" t="s">
        <v>17</v>
      </c>
      <c r="K1" s="51" t="s">
        <v>8</v>
      </c>
      <c r="L1" s="51" t="s">
        <v>14</v>
      </c>
      <c r="M1" s="51" t="s">
        <v>258</v>
      </c>
      <c r="N1" s="51" t="s">
        <v>228</v>
      </c>
      <c r="O1" s="51" t="s">
        <v>7</v>
      </c>
      <c r="P1" s="51" t="s">
        <v>5</v>
      </c>
      <c r="Q1" s="30"/>
      <c r="R1" s="30"/>
      <c r="S1" s="30"/>
    </row>
    <row r="2" ht="14.25" customHeight="1">
      <c r="A2" s="169">
        <v>0.0</v>
      </c>
      <c r="B2" s="57">
        <v>174.0</v>
      </c>
      <c r="C2" s="57">
        <v>112.5</v>
      </c>
      <c r="D2" s="57">
        <v>169.0</v>
      </c>
      <c r="E2" s="151">
        <v>0.0</v>
      </c>
      <c r="F2" s="57">
        <v>150.0</v>
      </c>
      <c r="G2" s="57">
        <v>104.5</v>
      </c>
      <c r="H2" s="57">
        <v>276.0</v>
      </c>
      <c r="I2" s="151">
        <v>0.0</v>
      </c>
      <c r="J2" s="150">
        <v>86.0</v>
      </c>
      <c r="K2" s="57">
        <f>134.416666666667+46</f>
        <v>180.4166667</v>
      </c>
      <c r="L2" s="57">
        <v>190.0</v>
      </c>
      <c r="M2" s="57">
        <v>296.0</v>
      </c>
      <c r="N2" s="151">
        <v>0.0</v>
      </c>
      <c r="O2" s="151">
        <v>0.0</v>
      </c>
      <c r="P2" s="151">
        <v>0.0</v>
      </c>
      <c r="Q2" s="30"/>
      <c r="R2" s="30"/>
      <c r="S2" s="30"/>
    </row>
    <row r="3" ht="14.25" customHeight="1">
      <c r="A3" s="169">
        <v>1.0</v>
      </c>
      <c r="B3" s="57">
        <v>201.5</v>
      </c>
      <c r="C3" s="142">
        <v>37.5</v>
      </c>
      <c r="D3" s="57">
        <v>217.5</v>
      </c>
      <c r="E3" s="57">
        <v>103.0</v>
      </c>
      <c r="F3" s="57">
        <v>117.0</v>
      </c>
      <c r="G3" s="57">
        <v>100.5</v>
      </c>
      <c r="H3" s="57">
        <v>201.0</v>
      </c>
      <c r="I3" s="57">
        <v>101.0</v>
      </c>
      <c r="J3" s="57">
        <v>122.0</v>
      </c>
      <c r="K3" s="57">
        <f>178.333333333333+16</f>
        <v>194.3333333</v>
      </c>
      <c r="L3" s="57">
        <v>140.0</v>
      </c>
      <c r="M3" s="57">
        <v>133.0</v>
      </c>
      <c r="N3" s="151">
        <v>0.0</v>
      </c>
      <c r="O3" s="151">
        <v>0.0</v>
      </c>
      <c r="P3" s="151">
        <v>0.0</v>
      </c>
      <c r="Q3" s="30"/>
      <c r="R3" s="30"/>
      <c r="S3" s="30"/>
    </row>
    <row r="4" ht="14.25" customHeight="1">
      <c r="A4" s="169">
        <v>2.0</v>
      </c>
      <c r="B4" s="57">
        <v>178.0</v>
      </c>
      <c r="C4" s="151">
        <v>0.0</v>
      </c>
      <c r="D4" s="57">
        <v>221.5</v>
      </c>
      <c r="E4" s="57">
        <v>101.0</v>
      </c>
      <c r="F4" s="57">
        <v>154.0</v>
      </c>
      <c r="G4" s="57">
        <v>101.0</v>
      </c>
      <c r="H4" s="57">
        <v>100.5</v>
      </c>
      <c r="I4" s="57">
        <v>108.0</v>
      </c>
      <c r="J4" s="57">
        <v>112.0</v>
      </c>
      <c r="K4" s="57">
        <v>217.4</v>
      </c>
      <c r="L4" s="57">
        <v>114.0</v>
      </c>
      <c r="M4" s="57">
        <v>208.0</v>
      </c>
      <c r="N4" s="151">
        <v>0.0</v>
      </c>
      <c r="O4" s="151">
        <v>0.0</v>
      </c>
      <c r="P4" s="151">
        <v>0.0</v>
      </c>
      <c r="Q4" s="30"/>
      <c r="R4" s="30"/>
      <c r="S4" s="30"/>
    </row>
    <row r="5" ht="14.25" customHeight="1">
      <c r="A5" s="169">
        <v>3.0</v>
      </c>
      <c r="B5" s="57">
        <v>206.5</v>
      </c>
      <c r="C5" s="57">
        <v>122.5</v>
      </c>
      <c r="D5" s="57">
        <v>180.0</v>
      </c>
      <c r="E5" s="57">
        <v>111.0</v>
      </c>
      <c r="F5" s="142">
        <v>60.5</v>
      </c>
      <c r="G5" s="57">
        <v>110.0</v>
      </c>
      <c r="H5" s="57">
        <v>143.0</v>
      </c>
      <c r="I5" s="142">
        <v>13.5</v>
      </c>
      <c r="J5" s="57">
        <v>101.0</v>
      </c>
      <c r="K5" s="132">
        <v>135.66666666666666</v>
      </c>
      <c r="L5" s="57">
        <v>157.0</v>
      </c>
      <c r="M5" s="57">
        <v>170.0</v>
      </c>
      <c r="N5" s="57">
        <v>248.0</v>
      </c>
      <c r="O5" s="150">
        <v>0.0</v>
      </c>
      <c r="P5" s="150">
        <v>0.0</v>
      </c>
      <c r="Q5" s="30"/>
      <c r="R5" s="30"/>
      <c r="S5" s="30"/>
    </row>
    <row r="6" ht="14.25" customHeight="1">
      <c r="A6" s="169">
        <v>4.0</v>
      </c>
      <c r="B6" s="175">
        <v>100.5</v>
      </c>
      <c r="C6" s="151">
        <v>0.0</v>
      </c>
      <c r="D6" s="57">
        <v>157.0</v>
      </c>
      <c r="E6" s="57">
        <v>101.0</v>
      </c>
      <c r="F6" s="142">
        <v>60.0</v>
      </c>
      <c r="G6" s="57">
        <v>126.5</v>
      </c>
      <c r="H6" s="57">
        <v>181.0</v>
      </c>
      <c r="I6" s="142">
        <v>27.5</v>
      </c>
      <c r="J6" s="57">
        <v>124.0</v>
      </c>
      <c r="K6" s="57">
        <v>149.7</v>
      </c>
      <c r="L6" s="57">
        <v>140.0</v>
      </c>
      <c r="M6" s="57">
        <v>158.0</v>
      </c>
      <c r="N6" s="57">
        <v>257.5</v>
      </c>
      <c r="O6" s="150">
        <v>0.0</v>
      </c>
      <c r="P6" s="150">
        <v>0.0</v>
      </c>
      <c r="Q6" s="30"/>
      <c r="R6" s="30"/>
      <c r="S6" s="30"/>
    </row>
    <row r="7" ht="14.25" customHeight="1">
      <c r="A7" s="169">
        <v>5.0</v>
      </c>
      <c r="B7" s="132">
        <v>102.0</v>
      </c>
      <c r="C7" s="150">
        <v>74.0</v>
      </c>
      <c r="D7" s="57">
        <v>201.5</v>
      </c>
      <c r="E7" s="57">
        <v>110.5</v>
      </c>
      <c r="F7" s="142">
        <v>23.0</v>
      </c>
      <c r="G7" s="57">
        <v>110.0</v>
      </c>
      <c r="H7" s="57">
        <v>376.0</v>
      </c>
      <c r="I7" s="57">
        <v>131.5</v>
      </c>
      <c r="J7" s="151">
        <v>0.0</v>
      </c>
      <c r="K7" s="57">
        <v>177.0</v>
      </c>
      <c r="L7" s="57">
        <v>155.5</v>
      </c>
      <c r="M7" s="57">
        <v>164.0</v>
      </c>
      <c r="N7" s="57">
        <v>311.5</v>
      </c>
      <c r="O7" s="150">
        <v>0.0</v>
      </c>
      <c r="P7" s="150">
        <v>0.0</v>
      </c>
      <c r="Q7" s="30"/>
      <c r="R7" s="30"/>
      <c r="S7" s="30"/>
    </row>
    <row r="8" ht="14.25" customHeight="1">
      <c r="A8" s="169">
        <v>6.0</v>
      </c>
      <c r="B8" s="57">
        <v>131.5</v>
      </c>
      <c r="C8" s="150">
        <v>37.5</v>
      </c>
      <c r="D8" s="57">
        <v>110.5</v>
      </c>
      <c r="E8" s="57">
        <v>110.0</v>
      </c>
      <c r="F8" s="142">
        <v>12.5</v>
      </c>
      <c r="G8" s="57">
        <v>129.5</v>
      </c>
      <c r="H8" s="57">
        <v>251.0</v>
      </c>
      <c r="I8" s="57">
        <v>102.0</v>
      </c>
      <c r="J8" s="57">
        <v>101.0</v>
      </c>
      <c r="K8" s="57">
        <v>196.33333333333334</v>
      </c>
      <c r="L8" s="57">
        <v>130.0</v>
      </c>
      <c r="M8" s="57">
        <v>122.0</v>
      </c>
      <c r="N8" s="57">
        <v>182.5</v>
      </c>
      <c r="O8" s="150">
        <v>0.0</v>
      </c>
      <c r="P8" s="150">
        <v>0.0</v>
      </c>
      <c r="Q8" s="30"/>
      <c r="R8" s="30"/>
      <c r="S8" s="30"/>
    </row>
    <row r="9" ht="14.25" customHeight="1">
      <c r="A9" s="169">
        <v>7.0</v>
      </c>
      <c r="B9" s="57">
        <v>268.5</v>
      </c>
      <c r="C9" s="150">
        <v>19.0</v>
      </c>
      <c r="D9" s="57">
        <v>206.0</v>
      </c>
      <c r="E9" s="57">
        <v>115.0</v>
      </c>
      <c r="F9" s="142">
        <v>48.5</v>
      </c>
      <c r="G9" s="57">
        <v>164.0</v>
      </c>
      <c r="H9" s="57">
        <v>309.5</v>
      </c>
      <c r="I9" s="57">
        <v>106.0</v>
      </c>
      <c r="J9" s="57">
        <v>117.0</v>
      </c>
      <c r="K9" s="57">
        <v>191.6</v>
      </c>
      <c r="L9" s="57">
        <v>140.0</v>
      </c>
      <c r="M9" s="57">
        <v>128.5</v>
      </c>
      <c r="N9" s="57">
        <v>110.5</v>
      </c>
      <c r="O9" s="57">
        <v>193.0</v>
      </c>
      <c r="P9" s="150">
        <v>0.0</v>
      </c>
      <c r="Q9" s="30"/>
      <c r="R9" s="30"/>
      <c r="S9" s="30"/>
    </row>
    <row r="10" ht="14.25" customHeight="1">
      <c r="A10" s="169">
        <v>8.0</v>
      </c>
      <c r="B10" s="57">
        <v>183.5</v>
      </c>
      <c r="C10" s="151">
        <v>0.0</v>
      </c>
      <c r="D10" s="57">
        <v>205.0</v>
      </c>
      <c r="E10" s="142">
        <v>60.0</v>
      </c>
      <c r="F10" s="57">
        <v>101.0</v>
      </c>
      <c r="G10" s="57">
        <v>152.5</v>
      </c>
      <c r="H10" s="57">
        <v>353.5</v>
      </c>
      <c r="I10" s="57">
        <v>101.5</v>
      </c>
      <c r="J10" s="57">
        <v>105.0</v>
      </c>
      <c r="K10" s="57">
        <v>199.28571428571428</v>
      </c>
      <c r="L10" s="57">
        <v>105.0</v>
      </c>
      <c r="M10" s="57">
        <v>138.0</v>
      </c>
      <c r="N10" s="57">
        <v>103.0</v>
      </c>
      <c r="O10" s="57">
        <v>210.5</v>
      </c>
      <c r="P10" s="150">
        <v>0.0</v>
      </c>
      <c r="Q10" s="30"/>
      <c r="R10" s="30"/>
      <c r="S10" s="30"/>
    </row>
    <row r="11" ht="14.25" customHeight="1">
      <c r="A11" s="169">
        <v>9.0</v>
      </c>
      <c r="B11" s="57">
        <v>240.0</v>
      </c>
      <c r="C11" s="57">
        <v>100.5</v>
      </c>
      <c r="D11" s="57">
        <v>221.5</v>
      </c>
      <c r="E11" s="134">
        <v>0.0</v>
      </c>
      <c r="F11" s="142">
        <v>70.0</v>
      </c>
      <c r="G11" s="57">
        <v>102.0</v>
      </c>
      <c r="H11" s="57">
        <v>313.5</v>
      </c>
      <c r="I11" s="57">
        <v>135.5</v>
      </c>
      <c r="J11" s="57">
        <v>154.0</v>
      </c>
      <c r="K11" s="133">
        <v>81.0</v>
      </c>
      <c r="L11" s="57">
        <v>140.0</v>
      </c>
      <c r="M11" s="132">
        <v>100.0</v>
      </c>
      <c r="N11" s="150">
        <v>0.0</v>
      </c>
      <c r="O11" s="57">
        <v>162.0</v>
      </c>
      <c r="P11" s="150">
        <v>0.0</v>
      </c>
      <c r="Q11" s="30"/>
      <c r="R11" s="30"/>
      <c r="S11" s="30"/>
    </row>
    <row r="12" ht="14.25" customHeight="1">
      <c r="A12" s="169">
        <v>10.0</v>
      </c>
      <c r="B12" s="132">
        <v>129.0</v>
      </c>
      <c r="C12" s="57">
        <v>127.5</v>
      </c>
      <c r="D12" s="132">
        <v>103.5</v>
      </c>
      <c r="E12" s="57">
        <v>102.0</v>
      </c>
      <c r="F12" s="142">
        <v>54.5</v>
      </c>
      <c r="G12" s="57">
        <v>120.5</v>
      </c>
      <c r="H12" s="57">
        <v>244.5</v>
      </c>
      <c r="I12" s="57">
        <v>101.0</v>
      </c>
      <c r="J12" s="57">
        <v>101.0</v>
      </c>
      <c r="K12" s="132">
        <v>107.19047619047619</v>
      </c>
      <c r="L12" s="57">
        <v>105.0</v>
      </c>
      <c r="M12" s="57">
        <v>213.0</v>
      </c>
      <c r="N12" s="57">
        <v>109.5</v>
      </c>
      <c r="O12" s="57">
        <v>130.0</v>
      </c>
      <c r="P12" s="150">
        <v>0.0</v>
      </c>
      <c r="Q12" s="30"/>
      <c r="R12" s="30"/>
      <c r="S12" s="30"/>
    </row>
    <row r="13" ht="14.25" customHeight="1">
      <c r="A13" s="169">
        <v>11.0</v>
      </c>
      <c r="B13" s="57">
        <v>300.0</v>
      </c>
      <c r="C13" s="57">
        <v>100.0</v>
      </c>
      <c r="D13" s="57">
        <v>129.0</v>
      </c>
      <c r="E13" s="141">
        <v>60.0</v>
      </c>
      <c r="F13" s="142">
        <v>106.5</v>
      </c>
      <c r="G13" s="57">
        <v>113.0</v>
      </c>
      <c r="H13" s="57">
        <v>303.0</v>
      </c>
      <c r="I13" s="57">
        <v>103.5</v>
      </c>
      <c r="J13" s="57">
        <v>144.0</v>
      </c>
      <c r="K13" s="57">
        <v>170.83333333333331</v>
      </c>
      <c r="L13" s="57">
        <v>126.0</v>
      </c>
      <c r="M13" s="57">
        <v>143.5</v>
      </c>
      <c r="N13" s="57">
        <v>127.5</v>
      </c>
      <c r="O13" s="57">
        <v>314.5</v>
      </c>
      <c r="P13" s="150">
        <v>0.0</v>
      </c>
      <c r="Q13" s="30"/>
      <c r="R13" s="30"/>
      <c r="S13" s="30"/>
    </row>
    <row r="14" ht="14.25" customHeight="1">
      <c r="A14" s="169">
        <v>12.0</v>
      </c>
      <c r="B14" s="57">
        <v>201.0</v>
      </c>
      <c r="C14" s="142">
        <v>70.5</v>
      </c>
      <c r="D14" s="175">
        <v>100.5</v>
      </c>
      <c r="E14" s="151">
        <v>0.0</v>
      </c>
      <c r="F14" s="150">
        <v>61.5</v>
      </c>
      <c r="G14" s="57">
        <v>101.5</v>
      </c>
      <c r="H14" s="57">
        <v>137.5</v>
      </c>
      <c r="I14" s="57">
        <v>102.5</v>
      </c>
      <c r="J14" s="57">
        <v>125.0</v>
      </c>
      <c r="K14" s="57">
        <v>236.0</v>
      </c>
      <c r="L14" s="151">
        <v>0.0</v>
      </c>
      <c r="M14" s="57">
        <v>177.0</v>
      </c>
      <c r="N14" s="57">
        <v>110.0</v>
      </c>
      <c r="O14" s="57">
        <v>135.5</v>
      </c>
      <c r="P14" s="150">
        <v>0.0</v>
      </c>
      <c r="Q14" s="30"/>
      <c r="R14" s="30"/>
      <c r="S14" s="30"/>
    </row>
    <row r="15" ht="14.25" customHeight="1">
      <c r="A15" s="169">
        <v>13.0</v>
      </c>
      <c r="B15" s="57">
        <v>222.0</v>
      </c>
      <c r="C15" s="57">
        <v>142.5</v>
      </c>
      <c r="D15" s="57">
        <v>105.0</v>
      </c>
      <c r="E15" s="141">
        <v>0.0</v>
      </c>
      <c r="F15" s="176">
        <v>0.0</v>
      </c>
      <c r="G15" s="57">
        <v>106.0</v>
      </c>
      <c r="H15" s="57">
        <v>134.5</v>
      </c>
      <c r="I15" s="57">
        <v>111.5</v>
      </c>
      <c r="J15" s="57">
        <v>106.5</v>
      </c>
      <c r="K15" s="57">
        <v>176.91666666666669</v>
      </c>
      <c r="L15" s="57">
        <v>125.0</v>
      </c>
      <c r="M15" s="57">
        <v>141.0</v>
      </c>
      <c r="N15" s="57">
        <v>150.0</v>
      </c>
      <c r="O15" s="57">
        <v>112.0</v>
      </c>
      <c r="P15" s="150">
        <v>0.0</v>
      </c>
      <c r="Q15" s="30"/>
      <c r="R15" s="30"/>
      <c r="S15" s="30"/>
    </row>
    <row r="16" ht="14.25" customHeight="1">
      <c r="A16" s="169">
        <v>14.0</v>
      </c>
      <c r="B16" s="57">
        <v>258.5</v>
      </c>
      <c r="C16" s="142">
        <v>37.5</v>
      </c>
      <c r="D16" s="57">
        <v>108.0</v>
      </c>
      <c r="E16" s="141">
        <v>0.0</v>
      </c>
      <c r="F16" s="177">
        <v>0.0</v>
      </c>
      <c r="G16" s="151">
        <v>0.0</v>
      </c>
      <c r="H16" s="57">
        <v>135.5</v>
      </c>
      <c r="I16" s="57">
        <v>106.0</v>
      </c>
      <c r="J16" s="57">
        <v>107.0</v>
      </c>
      <c r="K16" s="57">
        <f>139+64.5</f>
        <v>203.5</v>
      </c>
      <c r="L16" s="57">
        <v>105.0</v>
      </c>
      <c r="M16" s="57">
        <v>168.0</v>
      </c>
      <c r="N16" s="57">
        <v>199.0</v>
      </c>
      <c r="O16" s="57">
        <v>174.5</v>
      </c>
      <c r="P16" s="150">
        <v>0.0</v>
      </c>
      <c r="Q16" s="30"/>
      <c r="R16" s="30"/>
      <c r="S16" s="30"/>
    </row>
    <row r="17" ht="14.25" customHeight="1">
      <c r="A17" s="169">
        <v>15.0</v>
      </c>
      <c r="B17" s="57">
        <v>285.0</v>
      </c>
      <c r="C17" s="57">
        <v>166.5</v>
      </c>
      <c r="D17" s="57">
        <v>234.0</v>
      </c>
      <c r="E17" s="57">
        <v>101.0</v>
      </c>
      <c r="F17" s="178">
        <v>0.0</v>
      </c>
      <c r="G17" s="57">
        <v>100.5</v>
      </c>
      <c r="H17" s="57">
        <v>198.5</v>
      </c>
      <c r="I17" s="57">
        <v>101.0</v>
      </c>
      <c r="J17" s="57">
        <v>138.0</v>
      </c>
      <c r="K17" s="57">
        <v>184.5</v>
      </c>
      <c r="L17" s="57">
        <v>118.5</v>
      </c>
      <c r="M17" s="57">
        <v>147.0</v>
      </c>
      <c r="N17" s="57">
        <v>100.0</v>
      </c>
      <c r="O17" s="57">
        <v>102.0</v>
      </c>
      <c r="P17" s="57">
        <v>135.0</v>
      </c>
      <c r="Q17" s="57"/>
      <c r="R17" s="30"/>
      <c r="S17" s="30"/>
    </row>
    <row r="18" ht="14.25" customHeight="1">
      <c r="A18" s="169">
        <v>16.0</v>
      </c>
      <c r="B18" s="57">
        <v>250.5</v>
      </c>
      <c r="C18" s="57">
        <v>100.5</v>
      </c>
      <c r="D18" s="57">
        <v>272.5</v>
      </c>
      <c r="E18" s="57">
        <v>100.5</v>
      </c>
      <c r="F18" s="150">
        <v>0.0</v>
      </c>
      <c r="G18" s="57">
        <v>106.5</v>
      </c>
      <c r="H18" s="151">
        <v>45.0</v>
      </c>
      <c r="I18" s="57">
        <v>198.0</v>
      </c>
      <c r="J18" s="57">
        <v>128.0</v>
      </c>
      <c r="K18" s="57">
        <v>277.0</v>
      </c>
      <c r="L18" s="57">
        <v>105.0</v>
      </c>
      <c r="M18" s="57">
        <v>235.0</v>
      </c>
      <c r="N18" s="57">
        <v>202.0</v>
      </c>
      <c r="O18" s="57">
        <v>126.5</v>
      </c>
      <c r="P18" s="57">
        <v>116.0</v>
      </c>
      <c r="Q18" s="57"/>
      <c r="R18" s="30"/>
      <c r="S18" s="30"/>
    </row>
    <row r="19" ht="14.25" customHeight="1">
      <c r="A19" s="169">
        <v>17.0</v>
      </c>
      <c r="B19" s="57">
        <v>292.5</v>
      </c>
      <c r="C19" s="57">
        <v>106.0</v>
      </c>
      <c r="D19" s="57">
        <v>219.5</v>
      </c>
      <c r="E19" s="57">
        <v>124.0</v>
      </c>
      <c r="F19" s="150">
        <v>0.0</v>
      </c>
      <c r="G19" s="57">
        <v>160.5</v>
      </c>
      <c r="H19" s="151">
        <v>0.0</v>
      </c>
      <c r="I19" s="57">
        <v>111.0</v>
      </c>
      <c r="J19" s="57">
        <v>123.0</v>
      </c>
      <c r="K19" s="57">
        <f>197.25+28</f>
        <v>225.25</v>
      </c>
      <c r="L19" s="57">
        <v>105.0</v>
      </c>
      <c r="M19" s="57">
        <v>161.5</v>
      </c>
      <c r="N19" s="150">
        <v>0.0</v>
      </c>
      <c r="O19" s="57">
        <v>265.5</v>
      </c>
      <c r="P19" s="57">
        <v>120.0</v>
      </c>
      <c r="Q19" s="30"/>
      <c r="R19" s="30"/>
      <c r="S19" s="30"/>
    </row>
    <row r="20" ht="14.25" customHeight="1">
      <c r="A20" s="169">
        <v>18.0</v>
      </c>
      <c r="B20" s="57">
        <v>291.0</v>
      </c>
      <c r="C20" s="57">
        <v>100.0</v>
      </c>
      <c r="D20" s="132">
        <v>101.0</v>
      </c>
      <c r="E20" s="150">
        <v>10.0</v>
      </c>
      <c r="F20" s="150">
        <v>0.0</v>
      </c>
      <c r="G20" s="177">
        <v>0.0</v>
      </c>
      <c r="H20" s="151">
        <v>0.0</v>
      </c>
      <c r="I20" s="57">
        <v>131.5</v>
      </c>
      <c r="J20" s="57">
        <v>109.0</v>
      </c>
      <c r="K20" s="57">
        <v>260.0</v>
      </c>
      <c r="L20" s="179">
        <v>0.0</v>
      </c>
      <c r="M20" s="151">
        <v>0.0</v>
      </c>
      <c r="N20" s="150">
        <v>0.0</v>
      </c>
      <c r="O20" s="57">
        <v>153.0</v>
      </c>
      <c r="P20" s="57">
        <v>116.5</v>
      </c>
      <c r="Q20" s="30"/>
      <c r="R20" s="30"/>
      <c r="S20" s="30"/>
    </row>
    <row r="21" ht="14.25" customHeight="1">
      <c r="A21" s="169">
        <v>19.0</v>
      </c>
      <c r="B21" s="57">
        <v>242.5</v>
      </c>
      <c r="C21" s="57">
        <v>100.5</v>
      </c>
      <c r="D21" s="57">
        <v>238.5</v>
      </c>
      <c r="E21" s="57">
        <v>116.0</v>
      </c>
      <c r="F21" s="150">
        <v>0.0</v>
      </c>
      <c r="G21" s="151">
        <v>0.0</v>
      </c>
      <c r="H21" s="150">
        <v>58.0</v>
      </c>
      <c r="I21" s="150">
        <v>29.0</v>
      </c>
      <c r="J21" s="57">
        <v>127.0</v>
      </c>
      <c r="K21" s="57">
        <v>210.72</v>
      </c>
      <c r="L21" s="57">
        <v>105.0</v>
      </c>
      <c r="M21" s="151">
        <v>0.0</v>
      </c>
      <c r="N21" s="57">
        <v>109.0</v>
      </c>
      <c r="O21" s="57">
        <v>143.5</v>
      </c>
      <c r="P21" s="57">
        <v>110.5</v>
      </c>
      <c r="Q21" s="30"/>
      <c r="R21" s="30"/>
      <c r="S21" s="30"/>
    </row>
    <row r="22" ht="14.25" customHeight="1">
      <c r="A22" s="169">
        <v>20.0</v>
      </c>
      <c r="B22" s="57">
        <v>224.5</v>
      </c>
      <c r="C22" s="150">
        <v>48.0</v>
      </c>
      <c r="D22" s="57">
        <v>128.0</v>
      </c>
      <c r="E22" s="57">
        <v>106.0</v>
      </c>
      <c r="F22" s="150">
        <v>0.0</v>
      </c>
      <c r="G22" s="57">
        <v>101.5</v>
      </c>
      <c r="H22" s="57">
        <v>160.0</v>
      </c>
      <c r="I22" s="151">
        <v>0.0</v>
      </c>
      <c r="J22" s="57">
        <v>106.5</v>
      </c>
      <c r="K22" s="57">
        <v>232.2</v>
      </c>
      <c r="L22" s="57">
        <v>124.5</v>
      </c>
      <c r="M22" s="57">
        <v>132.5</v>
      </c>
      <c r="N22" s="57">
        <v>134.0</v>
      </c>
      <c r="O22" s="57">
        <v>142.0</v>
      </c>
      <c r="P22" s="150">
        <v>0.0</v>
      </c>
      <c r="Q22" s="30"/>
      <c r="R22" s="59"/>
      <c r="S22" s="30" t="s">
        <v>120</v>
      </c>
    </row>
    <row r="23" ht="14.25" customHeight="1">
      <c r="A23" s="169">
        <v>21.0</v>
      </c>
      <c r="B23" s="57">
        <v>352.0</v>
      </c>
      <c r="C23" s="57">
        <v>100.5</v>
      </c>
      <c r="D23" s="57">
        <v>173.5</v>
      </c>
      <c r="E23" s="57">
        <v>105.5</v>
      </c>
      <c r="F23" s="150">
        <v>0.0</v>
      </c>
      <c r="G23" s="57">
        <v>109.0</v>
      </c>
      <c r="H23" s="57">
        <v>180.5</v>
      </c>
      <c r="I23" s="177">
        <v>0.0</v>
      </c>
      <c r="J23" s="133">
        <v>28.0</v>
      </c>
      <c r="K23" s="57">
        <v>175.0</v>
      </c>
      <c r="L23" s="132">
        <v>100.0</v>
      </c>
      <c r="M23" s="57">
        <v>159.0</v>
      </c>
      <c r="N23" s="57">
        <v>110.5</v>
      </c>
      <c r="O23" s="57">
        <v>127.0</v>
      </c>
      <c r="P23" s="150">
        <v>0.0</v>
      </c>
      <c r="Q23" s="30"/>
      <c r="R23" s="62"/>
      <c r="S23" s="30" t="s">
        <v>121</v>
      </c>
    </row>
    <row r="24" ht="14.25" customHeight="1">
      <c r="A24" s="169">
        <v>22.0</v>
      </c>
      <c r="B24" s="57">
        <v>259.0</v>
      </c>
      <c r="C24" s="57">
        <v>248.0</v>
      </c>
      <c r="D24" s="57">
        <v>107.0</v>
      </c>
      <c r="E24" s="57">
        <v>109.0</v>
      </c>
      <c r="F24" s="150">
        <v>0.0</v>
      </c>
      <c r="G24" s="57">
        <v>111.0</v>
      </c>
      <c r="H24" s="57">
        <v>201.5</v>
      </c>
      <c r="I24" s="150">
        <v>0.0</v>
      </c>
      <c r="J24" s="151">
        <v>0.0</v>
      </c>
      <c r="K24" s="57">
        <v>354.5</v>
      </c>
      <c r="L24" s="57">
        <v>152.0</v>
      </c>
      <c r="M24" s="57">
        <v>142.5</v>
      </c>
      <c r="N24" s="57">
        <v>110.0</v>
      </c>
      <c r="O24" s="57">
        <v>148.5</v>
      </c>
      <c r="P24" s="57">
        <v>112.0</v>
      </c>
      <c r="Q24" s="30"/>
      <c r="R24" s="154"/>
      <c r="S24" s="30" t="s">
        <v>122</v>
      </c>
    </row>
    <row r="25" ht="14.25" customHeight="1">
      <c r="A25" s="169">
        <v>23.0</v>
      </c>
      <c r="B25" s="57">
        <v>262.5</v>
      </c>
      <c r="C25" s="57">
        <v>129.5</v>
      </c>
      <c r="D25" s="57">
        <v>250.0</v>
      </c>
      <c r="E25" s="57">
        <v>211.0</v>
      </c>
      <c r="F25" s="150">
        <v>0.0</v>
      </c>
      <c r="G25" s="57">
        <v>149.5</v>
      </c>
      <c r="H25" s="57">
        <v>192.0</v>
      </c>
      <c r="I25" s="150">
        <v>8.5</v>
      </c>
      <c r="J25" s="57">
        <v>105.0</v>
      </c>
      <c r="K25" s="57">
        <v>280.5</v>
      </c>
      <c r="L25" s="57">
        <v>101.0</v>
      </c>
      <c r="M25" s="57">
        <v>109.0</v>
      </c>
      <c r="N25" s="57">
        <v>118.0</v>
      </c>
      <c r="O25" s="57">
        <v>177.5</v>
      </c>
      <c r="P25" s="57">
        <v>124.0</v>
      </c>
      <c r="Q25" s="30"/>
      <c r="R25" s="64"/>
      <c r="S25" s="30" t="s">
        <v>123</v>
      </c>
    </row>
    <row r="26" ht="14.25" customHeight="1">
      <c r="A26" s="169">
        <v>24.0</v>
      </c>
      <c r="B26" s="57">
        <v>256.5</v>
      </c>
      <c r="C26" s="142">
        <v>42.5</v>
      </c>
      <c r="D26" s="57">
        <v>605.5</v>
      </c>
      <c r="E26" s="57">
        <v>101.5</v>
      </c>
      <c r="F26" s="150">
        <v>0.0</v>
      </c>
      <c r="G26" s="57">
        <v>119.5</v>
      </c>
      <c r="H26" s="57">
        <v>223.5</v>
      </c>
      <c r="I26" s="150">
        <v>0.0</v>
      </c>
      <c r="J26" s="57">
        <v>132.0</v>
      </c>
      <c r="K26" s="57">
        <v>261.0</v>
      </c>
      <c r="L26" s="57">
        <v>105.0</v>
      </c>
      <c r="M26" s="57">
        <v>151.0</v>
      </c>
      <c r="N26" s="57">
        <v>141.0</v>
      </c>
      <c r="O26" s="57">
        <v>100.0</v>
      </c>
      <c r="P26" s="57">
        <v>109.5</v>
      </c>
      <c r="Q26" s="30"/>
      <c r="R26" s="30"/>
      <c r="S26" s="30"/>
    </row>
    <row r="27" ht="14.25" customHeight="1">
      <c r="A27" s="66" t="s">
        <v>126</v>
      </c>
      <c r="B27" s="155">
        <f t="shared" ref="B27:P27" si="1">SUM(B2:B26)</f>
        <v>5612.5</v>
      </c>
      <c r="C27" s="155">
        <f t="shared" si="1"/>
        <v>2123.5</v>
      </c>
      <c r="D27" s="155">
        <f t="shared" si="1"/>
        <v>4765</v>
      </c>
      <c r="E27" s="155">
        <f t="shared" si="1"/>
        <v>2058</v>
      </c>
      <c r="F27" s="155">
        <f t="shared" si="1"/>
        <v>1019</v>
      </c>
      <c r="G27" s="155">
        <f t="shared" si="1"/>
        <v>2599.5</v>
      </c>
      <c r="H27" s="155">
        <f t="shared" si="1"/>
        <v>4719</v>
      </c>
      <c r="I27" s="155">
        <f t="shared" si="1"/>
        <v>1930</v>
      </c>
      <c r="J27" s="155">
        <f t="shared" si="1"/>
        <v>2602</v>
      </c>
      <c r="K27" s="155">
        <f t="shared" si="1"/>
        <v>5077.84619</v>
      </c>
      <c r="L27" s="155">
        <f t="shared" si="1"/>
        <v>2888.5</v>
      </c>
      <c r="M27" s="155">
        <f t="shared" si="1"/>
        <v>3697.5</v>
      </c>
      <c r="N27" s="155">
        <f t="shared" si="1"/>
        <v>2933.5</v>
      </c>
      <c r="O27" s="155">
        <f t="shared" si="1"/>
        <v>2917.5</v>
      </c>
      <c r="P27" s="155">
        <f t="shared" si="1"/>
        <v>943.5</v>
      </c>
      <c r="Q27" s="30"/>
    </row>
    <row r="28" ht="14.25" customHeight="1">
      <c r="A28" s="156" t="s">
        <v>127</v>
      </c>
      <c r="B28" s="158">
        <f t="shared" ref="B28:P28" si="2">AVERAGE(B2:B26)</f>
        <v>224.5</v>
      </c>
      <c r="C28" s="158">
        <f t="shared" si="2"/>
        <v>84.94</v>
      </c>
      <c r="D28" s="158">
        <f t="shared" si="2"/>
        <v>190.6</v>
      </c>
      <c r="E28" s="158">
        <f t="shared" si="2"/>
        <v>82.32</v>
      </c>
      <c r="F28" s="158">
        <f t="shared" si="2"/>
        <v>40.76</v>
      </c>
      <c r="G28" s="158">
        <f t="shared" si="2"/>
        <v>103.98</v>
      </c>
      <c r="H28" s="158">
        <f t="shared" si="2"/>
        <v>188.76</v>
      </c>
      <c r="I28" s="158">
        <f t="shared" si="2"/>
        <v>77.2</v>
      </c>
      <c r="J28" s="158">
        <f t="shared" si="2"/>
        <v>104.08</v>
      </c>
      <c r="K28" s="158">
        <f t="shared" si="2"/>
        <v>203.1138476</v>
      </c>
      <c r="L28" s="158">
        <f t="shared" si="2"/>
        <v>115.54</v>
      </c>
      <c r="M28" s="158">
        <f t="shared" si="2"/>
        <v>147.9</v>
      </c>
      <c r="N28" s="158">
        <f t="shared" si="2"/>
        <v>117.34</v>
      </c>
      <c r="O28" s="158">
        <f t="shared" si="2"/>
        <v>116.7</v>
      </c>
      <c r="P28" s="158">
        <f t="shared" si="2"/>
        <v>37.74</v>
      </c>
      <c r="Q28" s="30"/>
      <c r="R28" s="30"/>
      <c r="S28" s="30"/>
    </row>
    <row r="29" ht="14.25" customHeight="1">
      <c r="A29" s="156" t="s">
        <v>128</v>
      </c>
      <c r="B29" s="158">
        <f>SUM(B6,B7,B12)</f>
        <v>331.5</v>
      </c>
      <c r="C29" s="158">
        <v>0.0</v>
      </c>
      <c r="D29" s="158">
        <f>SUM(D20,D14,D12)</f>
        <v>305</v>
      </c>
      <c r="E29" s="158">
        <v>0.0</v>
      </c>
      <c r="F29" s="158">
        <v>0.0</v>
      </c>
      <c r="G29" s="158">
        <v>0.0</v>
      </c>
      <c r="H29" s="158">
        <v>45.0</v>
      </c>
      <c r="I29" s="158">
        <v>0.0</v>
      </c>
      <c r="J29" s="158">
        <v>28.0</v>
      </c>
      <c r="K29" s="158">
        <f>SUM(K5,K11,K12)</f>
        <v>323.8571429</v>
      </c>
      <c r="L29" s="158">
        <v>100.0</v>
      </c>
      <c r="M29" s="158">
        <v>100.0</v>
      </c>
      <c r="N29" s="158">
        <v>0.0</v>
      </c>
      <c r="O29" s="158">
        <v>0.0</v>
      </c>
      <c r="P29" s="158">
        <v>0.0</v>
      </c>
      <c r="Q29" s="30"/>
      <c r="R29" s="30"/>
      <c r="S29" s="30"/>
    </row>
    <row r="30" ht="14.25" customHeight="1">
      <c r="A30" s="156" t="s">
        <v>129</v>
      </c>
      <c r="B30" s="158">
        <v>300.0</v>
      </c>
      <c r="C30" s="158">
        <v>0.0</v>
      </c>
      <c r="D30" s="158">
        <v>300.0</v>
      </c>
      <c r="E30" s="158">
        <v>0.0</v>
      </c>
      <c r="F30" s="158">
        <v>0.0</v>
      </c>
      <c r="G30" s="158">
        <v>0.0</v>
      </c>
      <c r="H30" s="158">
        <v>0.0</v>
      </c>
      <c r="I30" s="158">
        <v>0.0</v>
      </c>
      <c r="J30" s="158">
        <v>0.0</v>
      </c>
      <c r="K30" s="158">
        <v>0.0</v>
      </c>
      <c r="L30" s="158">
        <v>0.0</v>
      </c>
      <c r="M30" s="158">
        <v>0.0</v>
      </c>
      <c r="N30" s="158">
        <v>0.0</v>
      </c>
      <c r="O30" s="158">
        <v>0.0</v>
      </c>
      <c r="P30" s="158">
        <v>0.0</v>
      </c>
      <c r="Q30" s="30"/>
      <c r="R30" s="30"/>
      <c r="S30" s="30"/>
    </row>
    <row r="31" ht="14.25" customHeight="1">
      <c r="A31" s="66" t="s">
        <v>130</v>
      </c>
      <c r="B31" s="155">
        <f t="shared" ref="B31:P31" si="3">B27-B29+B30</f>
        <v>5581</v>
      </c>
      <c r="C31" s="155">
        <f t="shared" si="3"/>
        <v>2123.5</v>
      </c>
      <c r="D31" s="155">
        <f t="shared" si="3"/>
        <v>4760</v>
      </c>
      <c r="E31" s="155">
        <f t="shared" si="3"/>
        <v>2058</v>
      </c>
      <c r="F31" s="155">
        <f t="shared" si="3"/>
        <v>1019</v>
      </c>
      <c r="G31" s="155">
        <f t="shared" si="3"/>
        <v>2599.5</v>
      </c>
      <c r="H31" s="155">
        <f t="shared" si="3"/>
        <v>4674</v>
      </c>
      <c r="I31" s="155">
        <f t="shared" si="3"/>
        <v>1930</v>
      </c>
      <c r="J31" s="155">
        <f t="shared" si="3"/>
        <v>2574</v>
      </c>
      <c r="K31" s="155">
        <f t="shared" si="3"/>
        <v>4753.989048</v>
      </c>
      <c r="L31" s="155">
        <f t="shared" si="3"/>
        <v>2788.5</v>
      </c>
      <c r="M31" s="155">
        <f t="shared" si="3"/>
        <v>3597.5</v>
      </c>
      <c r="N31" s="155">
        <f t="shared" si="3"/>
        <v>2933.5</v>
      </c>
      <c r="O31" s="155">
        <f t="shared" si="3"/>
        <v>2917.5</v>
      </c>
      <c r="P31" s="155">
        <f t="shared" si="3"/>
        <v>943.5</v>
      </c>
      <c r="Q31" s="30"/>
      <c r="R31" s="30"/>
      <c r="S31" s="30"/>
    </row>
    <row r="32" ht="14.25" customHeight="1">
      <c r="A32" s="159" t="s">
        <v>131</v>
      </c>
      <c r="B32" s="160">
        <f>RANK(B31,B31:O31)</f>
        <v>1</v>
      </c>
      <c r="C32" s="160">
        <f>RANK(C31,B31:O31)</f>
        <v>11</v>
      </c>
      <c r="D32" s="160">
        <f>RANK(D31,B31:O31)</f>
        <v>2</v>
      </c>
      <c r="E32" s="160">
        <f>RANK(E31,B31:O31)</f>
        <v>12</v>
      </c>
      <c r="F32" s="160">
        <f>RANK(F31,B31:O31)</f>
        <v>14</v>
      </c>
      <c r="G32" s="160">
        <f>RANK(G31,B31:O31)</f>
        <v>9</v>
      </c>
      <c r="H32" s="160">
        <f>RANK(H31,B31:O31)</f>
        <v>4</v>
      </c>
      <c r="I32" s="160">
        <f>RANK(I31,B31:O31)</f>
        <v>13</v>
      </c>
      <c r="J32" s="160">
        <f>RANK(J31,B31:O31)</f>
        <v>10</v>
      </c>
      <c r="K32" s="160">
        <f>RANK(K31,B31:O31)</f>
        <v>3</v>
      </c>
      <c r="L32" s="160">
        <f>RANK(L31,B31:O31)</f>
        <v>8</v>
      </c>
      <c r="M32" s="160">
        <f>RANK(M31,B31:O31)</f>
        <v>5</v>
      </c>
      <c r="N32" s="160">
        <f>RANK(N31,B31:O31)</f>
        <v>6</v>
      </c>
      <c r="O32" s="160">
        <f>RANK(O31,B31:O31)</f>
        <v>7</v>
      </c>
      <c r="P32" s="180" t="s">
        <v>26</v>
      </c>
      <c r="Q32" s="30"/>
      <c r="R32" s="30"/>
      <c r="S32" s="30"/>
    </row>
    <row r="33" ht="14.25" customHeight="1">
      <c r="A33" s="156" t="s">
        <v>132</v>
      </c>
      <c r="B33" s="161">
        <v>0.0</v>
      </c>
      <c r="C33" s="161">
        <v>250.0</v>
      </c>
      <c r="D33" s="161">
        <v>0.0</v>
      </c>
      <c r="E33" s="161">
        <v>750.0</v>
      </c>
      <c r="F33" s="161">
        <v>550.0</v>
      </c>
      <c r="G33" s="161">
        <v>30.0</v>
      </c>
      <c r="H33" s="161">
        <v>0.0</v>
      </c>
      <c r="I33" s="161">
        <v>200.0</v>
      </c>
      <c r="J33" s="161">
        <v>50.0</v>
      </c>
      <c r="K33" s="161">
        <f>130+30+30</f>
        <v>190</v>
      </c>
      <c r="L33" s="161">
        <v>180.0</v>
      </c>
      <c r="M33" s="161">
        <v>0.0</v>
      </c>
      <c r="N33" s="161">
        <v>0.0</v>
      </c>
      <c r="O33" s="161">
        <v>0.0</v>
      </c>
      <c r="P33" s="161">
        <v>0.0</v>
      </c>
      <c r="Q33" s="30"/>
      <c r="R33" s="30"/>
    </row>
    <row r="34" ht="14.25" customHeight="1">
      <c r="A34" s="156" t="s">
        <v>133</v>
      </c>
      <c r="B34" s="161">
        <v>0.0</v>
      </c>
      <c r="C34" s="161">
        <v>300.0</v>
      </c>
      <c r="D34" s="161">
        <v>0.0</v>
      </c>
      <c r="E34" s="161">
        <v>400.0</v>
      </c>
      <c r="F34" s="161">
        <v>500.0</v>
      </c>
      <c r="G34" s="161">
        <v>200.0</v>
      </c>
      <c r="H34" s="161">
        <v>100.0</v>
      </c>
      <c r="I34" s="161">
        <v>400.0</v>
      </c>
      <c r="J34" s="161">
        <v>300.0</v>
      </c>
      <c r="K34" s="161">
        <v>0.0</v>
      </c>
      <c r="L34" s="161">
        <v>200.0</v>
      </c>
      <c r="M34" s="161">
        <v>100.0</v>
      </c>
      <c r="N34" s="161">
        <v>100.0</v>
      </c>
      <c r="O34" s="161">
        <v>200.0</v>
      </c>
      <c r="P34" s="161">
        <v>0.0</v>
      </c>
      <c r="Q34" s="30"/>
      <c r="R34" s="30"/>
      <c r="S34" s="79"/>
      <c r="T34" s="162"/>
    </row>
    <row r="35" ht="14.25" customHeight="1">
      <c r="A35" s="159" t="s">
        <v>134</v>
      </c>
      <c r="B35" s="171">
        <f t="shared" ref="B35:P35" si="4">SUM(B33:B34)</f>
        <v>0</v>
      </c>
      <c r="C35" s="171">
        <f t="shared" si="4"/>
        <v>550</v>
      </c>
      <c r="D35" s="171">
        <f t="shared" si="4"/>
        <v>0</v>
      </c>
      <c r="E35" s="171">
        <f t="shared" si="4"/>
        <v>1150</v>
      </c>
      <c r="F35" s="171">
        <f t="shared" si="4"/>
        <v>1050</v>
      </c>
      <c r="G35" s="171">
        <f t="shared" si="4"/>
        <v>230</v>
      </c>
      <c r="H35" s="171">
        <f t="shared" si="4"/>
        <v>100</v>
      </c>
      <c r="I35" s="171">
        <f t="shared" si="4"/>
        <v>600</v>
      </c>
      <c r="J35" s="171">
        <f t="shared" si="4"/>
        <v>350</v>
      </c>
      <c r="K35" s="171">
        <f t="shared" si="4"/>
        <v>190</v>
      </c>
      <c r="L35" s="171">
        <f t="shared" si="4"/>
        <v>380</v>
      </c>
      <c r="M35" s="162">
        <f t="shared" si="4"/>
        <v>100</v>
      </c>
      <c r="N35" s="171">
        <f t="shared" si="4"/>
        <v>100</v>
      </c>
      <c r="O35" s="171">
        <f t="shared" si="4"/>
        <v>200</v>
      </c>
      <c r="P35" s="171">
        <f t="shared" si="4"/>
        <v>0</v>
      </c>
      <c r="Q35" s="30"/>
      <c r="R35" s="30"/>
      <c r="S35" s="159" t="s">
        <v>135</v>
      </c>
      <c r="T35" s="162">
        <f>SUM(B35:P35)</f>
        <v>5000</v>
      </c>
      <c r="U35" s="31" t="s">
        <v>230</v>
      </c>
    </row>
    <row r="36" ht="14.25" customHeight="1">
      <c r="A36" s="69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57"/>
      <c r="M36" s="57"/>
      <c r="N36" s="57"/>
      <c r="O36" s="57"/>
      <c r="P36" s="57"/>
      <c r="Q36" s="30"/>
      <c r="R36" s="30"/>
      <c r="S36" s="30"/>
    </row>
    <row r="37" ht="14.25" customHeight="1">
      <c r="A37" s="164" t="s">
        <v>138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57"/>
      <c r="M37" s="57"/>
      <c r="N37" s="57"/>
      <c r="O37" s="57"/>
      <c r="P37" s="57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4.25" customHeight="1">
      <c r="A38" s="51" t="s">
        <v>118</v>
      </c>
      <c r="B38" s="51" t="s">
        <v>139</v>
      </c>
      <c r="C38" s="51" t="s">
        <v>140</v>
      </c>
      <c r="D38" s="51" t="s">
        <v>231</v>
      </c>
      <c r="E38" s="51" t="s">
        <v>137</v>
      </c>
      <c r="F38" s="51" t="s">
        <v>232</v>
      </c>
      <c r="G38" s="51" t="s">
        <v>233</v>
      </c>
      <c r="H38" s="69"/>
      <c r="I38" s="69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4.25" customHeight="1">
      <c r="A39" s="169">
        <v>0.0</v>
      </c>
      <c r="B39" s="165" t="s">
        <v>26</v>
      </c>
      <c r="C39" s="165" t="s">
        <v>26</v>
      </c>
      <c r="D39" s="165" t="s">
        <v>26</v>
      </c>
      <c r="E39" s="165" t="s">
        <v>26</v>
      </c>
      <c r="F39" s="165" t="s">
        <v>26</v>
      </c>
      <c r="G39" s="165" t="s">
        <v>26</v>
      </c>
      <c r="H39" s="69"/>
      <c r="I39" s="69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4.25" customHeight="1">
      <c r="A40" s="169">
        <v>1.0</v>
      </c>
      <c r="B40" s="165" t="s">
        <v>167</v>
      </c>
      <c r="C40" s="165" t="s">
        <v>207</v>
      </c>
      <c r="D40" s="165" t="s">
        <v>4</v>
      </c>
      <c r="E40" s="165">
        <v>141.0</v>
      </c>
      <c r="F40" s="165" t="s">
        <v>259</v>
      </c>
      <c r="G40" s="165" t="s">
        <v>0</v>
      </c>
      <c r="H40" s="181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>
      <c r="A41" s="169">
        <v>2.0</v>
      </c>
      <c r="B41" s="165" t="s">
        <v>11</v>
      </c>
      <c r="C41" s="165" t="s">
        <v>260</v>
      </c>
      <c r="D41" s="165" t="s">
        <v>0</v>
      </c>
      <c r="E41" s="182">
        <v>0.2576388888888889</v>
      </c>
      <c r="F41" s="165" t="s">
        <v>2</v>
      </c>
      <c r="G41" s="165" t="s">
        <v>17</v>
      </c>
      <c r="H41" s="181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4.25" customHeight="1">
      <c r="A42" s="169">
        <v>3.0</v>
      </c>
      <c r="B42" s="165" t="s">
        <v>2</v>
      </c>
      <c r="C42" s="165" t="s">
        <v>261</v>
      </c>
      <c r="D42" s="165" t="s">
        <v>8</v>
      </c>
      <c r="E42" s="165">
        <v>14.0</v>
      </c>
      <c r="F42" s="165" t="s">
        <v>2</v>
      </c>
      <c r="G42" s="165" t="s">
        <v>26</v>
      </c>
      <c r="H42" s="181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4.25" customHeight="1">
      <c r="A43" s="169">
        <v>4.0</v>
      </c>
      <c r="B43" s="165" t="s">
        <v>21</v>
      </c>
      <c r="C43" s="165" t="s">
        <v>262</v>
      </c>
      <c r="D43" s="165" t="s">
        <v>2</v>
      </c>
      <c r="E43" s="165">
        <v>20.0</v>
      </c>
      <c r="F43" s="165" t="s">
        <v>12</v>
      </c>
      <c r="G43" s="165" t="s">
        <v>8</v>
      </c>
      <c r="H43" s="181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4.25" customHeight="1">
      <c r="A44" s="169">
        <v>5.0</v>
      </c>
      <c r="B44" s="165" t="s">
        <v>257</v>
      </c>
      <c r="C44" s="165" t="s">
        <v>263</v>
      </c>
      <c r="D44" s="165" t="s">
        <v>20</v>
      </c>
      <c r="E44" s="165">
        <v>10.0</v>
      </c>
      <c r="F44" s="165" t="s">
        <v>8</v>
      </c>
      <c r="G44" s="165" t="s">
        <v>264</v>
      </c>
      <c r="H44" s="181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4.25" customHeight="1">
      <c r="A45" s="169">
        <v>6.0</v>
      </c>
      <c r="B45" s="165" t="s">
        <v>12</v>
      </c>
      <c r="C45" s="165" t="s">
        <v>265</v>
      </c>
      <c r="D45" s="165" t="s">
        <v>266</v>
      </c>
      <c r="E45" s="165" t="s">
        <v>267</v>
      </c>
      <c r="F45" s="165" t="s">
        <v>8</v>
      </c>
      <c r="G45" s="165" t="s">
        <v>0</v>
      </c>
      <c r="H45" s="181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4.25" customHeight="1">
      <c r="A46" s="169">
        <v>7.0</v>
      </c>
      <c r="B46" s="165" t="s">
        <v>4</v>
      </c>
      <c r="C46" s="165" t="s">
        <v>268</v>
      </c>
      <c r="D46" s="165" t="s">
        <v>0</v>
      </c>
      <c r="E46" s="182">
        <v>0.8006944444444444</v>
      </c>
      <c r="F46" s="165" t="s">
        <v>228</v>
      </c>
      <c r="G46" s="165" t="s">
        <v>4</v>
      </c>
      <c r="H46" s="181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4.25" customHeight="1">
      <c r="A47" s="169">
        <v>8.0</v>
      </c>
      <c r="B47" s="165" t="s">
        <v>20</v>
      </c>
      <c r="C47" s="165" t="s">
        <v>269</v>
      </c>
      <c r="D47" s="165" t="s">
        <v>270</v>
      </c>
      <c r="E47" s="165">
        <v>1.0</v>
      </c>
      <c r="F47" s="165" t="s">
        <v>26</v>
      </c>
      <c r="G47" s="165" t="s">
        <v>26</v>
      </c>
      <c r="H47" s="181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4.25" customHeight="1">
      <c r="A48" s="169">
        <v>9.0</v>
      </c>
      <c r="B48" s="165" t="s">
        <v>17</v>
      </c>
      <c r="C48" s="165" t="s">
        <v>271</v>
      </c>
      <c r="D48" s="165" t="s">
        <v>17</v>
      </c>
      <c r="E48" s="165">
        <v>16.0</v>
      </c>
      <c r="F48" s="165" t="s">
        <v>167</v>
      </c>
      <c r="G48" s="165" t="s">
        <v>7</v>
      </c>
      <c r="H48" s="181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4.25" customHeight="1">
      <c r="A49" s="169">
        <v>10.0</v>
      </c>
      <c r="B49" s="165" t="s">
        <v>259</v>
      </c>
      <c r="C49" s="165" t="s">
        <v>26</v>
      </c>
      <c r="D49" s="165" t="s">
        <v>26</v>
      </c>
      <c r="E49" s="165" t="s">
        <v>26</v>
      </c>
      <c r="F49" s="165" t="s">
        <v>26</v>
      </c>
      <c r="G49" s="165" t="s">
        <v>26</v>
      </c>
      <c r="H49" s="181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4.25" customHeight="1">
      <c r="A50" s="169">
        <v>11.0</v>
      </c>
      <c r="B50" s="165" t="s">
        <v>8</v>
      </c>
      <c r="C50" s="165" t="s">
        <v>272</v>
      </c>
      <c r="D50" s="165" t="s">
        <v>8</v>
      </c>
      <c r="E50" s="165">
        <v>76.0</v>
      </c>
      <c r="F50" s="165" t="s">
        <v>17</v>
      </c>
      <c r="G50" s="165" t="s">
        <v>12</v>
      </c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4.25" customHeight="1">
      <c r="A51" s="169">
        <v>12.0</v>
      </c>
      <c r="B51" s="168" t="s">
        <v>14</v>
      </c>
      <c r="C51" s="165" t="s">
        <v>273</v>
      </c>
      <c r="D51" s="165" t="s">
        <v>274</v>
      </c>
      <c r="E51" s="182">
        <v>0.041666666666666664</v>
      </c>
      <c r="F51" s="165" t="s">
        <v>274</v>
      </c>
      <c r="G51" s="165" t="s">
        <v>228</v>
      </c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4.25" customHeight="1">
      <c r="A52" s="169">
        <v>13.0</v>
      </c>
      <c r="B52" s="165" t="s">
        <v>258</v>
      </c>
      <c r="C52" s="165" t="s">
        <v>26</v>
      </c>
      <c r="D52" s="165" t="s">
        <v>26</v>
      </c>
      <c r="E52" s="165" t="s">
        <v>26</v>
      </c>
      <c r="F52" s="165" t="s">
        <v>26</v>
      </c>
      <c r="G52" s="165" t="s">
        <v>26</v>
      </c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4.25" customHeight="1">
      <c r="A53" s="169">
        <v>14.0</v>
      </c>
      <c r="B53" s="165" t="s">
        <v>228</v>
      </c>
      <c r="C53" s="165" t="s">
        <v>275</v>
      </c>
      <c r="D53" s="165" t="s">
        <v>228</v>
      </c>
      <c r="E53" s="165">
        <v>169.0</v>
      </c>
      <c r="F53" s="165" t="s">
        <v>258</v>
      </c>
      <c r="G53" s="165" t="s">
        <v>0</v>
      </c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4.25" customHeight="1">
      <c r="A54" s="169">
        <v>15.0</v>
      </c>
      <c r="B54" s="165" t="s">
        <v>7</v>
      </c>
      <c r="C54" s="166" t="s">
        <v>276</v>
      </c>
      <c r="D54" s="165" t="s">
        <v>0</v>
      </c>
      <c r="E54" s="165">
        <v>65.0</v>
      </c>
      <c r="F54" s="165" t="s">
        <v>5</v>
      </c>
      <c r="G54" s="165" t="s">
        <v>8</v>
      </c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4.25" customHeight="1">
      <c r="A55" s="169">
        <v>16.0</v>
      </c>
      <c r="B55" s="165" t="s">
        <v>5</v>
      </c>
      <c r="C55" s="165" t="s">
        <v>277</v>
      </c>
      <c r="D55" s="165" t="s">
        <v>26</v>
      </c>
      <c r="E55" s="165" t="s">
        <v>26</v>
      </c>
      <c r="F55" s="165" t="s">
        <v>26</v>
      </c>
      <c r="G55" s="165" t="s">
        <v>26</v>
      </c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4.25" customHeight="1">
      <c r="A56" s="169">
        <v>17.0</v>
      </c>
      <c r="B56" s="165" t="s">
        <v>14</v>
      </c>
      <c r="C56" s="165" t="s">
        <v>278</v>
      </c>
      <c r="D56" s="165" t="s">
        <v>7</v>
      </c>
      <c r="E56" s="165">
        <v>66.0</v>
      </c>
      <c r="F56" s="165" t="s">
        <v>167</v>
      </c>
      <c r="G56" s="165" t="s">
        <v>26</v>
      </c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4.25" customHeight="1">
      <c r="A57" s="169">
        <v>18.0</v>
      </c>
      <c r="B57" s="165" t="s">
        <v>20</v>
      </c>
      <c r="C57" s="165" t="s">
        <v>279</v>
      </c>
      <c r="D57" s="165" t="s">
        <v>20</v>
      </c>
      <c r="E57" s="165">
        <v>24.0</v>
      </c>
      <c r="F57" s="165" t="s">
        <v>26</v>
      </c>
      <c r="G57" s="165" t="s">
        <v>26</v>
      </c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4.25" customHeight="1">
      <c r="A58" s="169">
        <v>19.0</v>
      </c>
      <c r="B58" s="165" t="s">
        <v>21</v>
      </c>
      <c r="C58" s="165" t="s">
        <v>280</v>
      </c>
      <c r="D58" s="165" t="s">
        <v>200</v>
      </c>
      <c r="E58" s="165" t="s">
        <v>0</v>
      </c>
      <c r="F58" s="165" t="s">
        <v>21</v>
      </c>
      <c r="G58" s="165" t="s">
        <v>7</v>
      </c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4.25" customHeight="1">
      <c r="A59" s="169">
        <v>20.0</v>
      </c>
      <c r="B59" s="165" t="s">
        <v>228</v>
      </c>
      <c r="C59" s="165" t="s">
        <v>281</v>
      </c>
      <c r="D59" s="165" t="s">
        <v>228</v>
      </c>
      <c r="E59" s="165">
        <v>2.0</v>
      </c>
      <c r="F59" s="165" t="s">
        <v>167</v>
      </c>
      <c r="G59" s="165" t="s">
        <v>26</v>
      </c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4.25" customHeight="1">
      <c r="A60" s="169">
        <v>21.0</v>
      </c>
      <c r="B60" s="165" t="s">
        <v>257</v>
      </c>
      <c r="C60" s="165" t="s">
        <v>38</v>
      </c>
      <c r="D60" s="165" t="s">
        <v>167</v>
      </c>
      <c r="E60" s="165">
        <v>174.0</v>
      </c>
      <c r="F60" s="165" t="s">
        <v>258</v>
      </c>
      <c r="G60" s="165" t="s">
        <v>7</v>
      </c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4.25" customHeight="1">
      <c r="A61" s="169">
        <v>22.0</v>
      </c>
      <c r="B61" s="165" t="s">
        <v>4</v>
      </c>
      <c r="C61" s="165" t="s">
        <v>75</v>
      </c>
      <c r="D61" s="165" t="s">
        <v>8</v>
      </c>
      <c r="E61" s="165">
        <v>100.0</v>
      </c>
      <c r="F61" s="165" t="s">
        <v>4</v>
      </c>
      <c r="G61" s="165" t="s">
        <v>228</v>
      </c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4.25" customHeight="1">
      <c r="A62" s="169">
        <v>23.0</v>
      </c>
      <c r="B62" s="168" t="s">
        <v>167</v>
      </c>
      <c r="C62" s="165" t="s">
        <v>282</v>
      </c>
      <c r="D62" s="165" t="s">
        <v>2</v>
      </c>
      <c r="E62" s="165">
        <v>3187.0</v>
      </c>
      <c r="F62" s="165" t="s">
        <v>8</v>
      </c>
      <c r="G62" s="165" t="s">
        <v>165</v>
      </c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4.25" customHeight="1">
      <c r="A63" s="169">
        <v>24.0</v>
      </c>
      <c r="B63" s="165" t="s">
        <v>17</v>
      </c>
      <c r="C63" s="166" t="s">
        <v>26</v>
      </c>
      <c r="D63" s="166" t="s">
        <v>26</v>
      </c>
      <c r="E63" s="166" t="s">
        <v>26</v>
      </c>
      <c r="F63" s="166" t="s">
        <v>26</v>
      </c>
      <c r="G63" s="166" t="s">
        <v>26</v>
      </c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4.25" customHeight="1">
      <c r="A64" s="89"/>
      <c r="B64" s="89"/>
      <c r="C64" s="30"/>
      <c r="D64" s="89"/>
      <c r="E64" s="89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4.2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4.2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4.2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4.2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90"/>
      <c r="P68" s="30"/>
      <c r="Q68" s="30"/>
      <c r="R68" s="30"/>
      <c r="S68" s="30"/>
    </row>
    <row r="69" ht="14.2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</row>
    <row r="70" ht="14.2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</row>
    <row r="71" ht="14.2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</row>
    <row r="72" ht="14.2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</row>
    <row r="73" ht="14.2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</row>
    <row r="74" ht="14.2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</row>
    <row r="75" ht="14.2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</row>
    <row r="76" ht="14.2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</row>
    <row r="77" ht="14.2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</row>
    <row r="78" ht="14.2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</row>
    <row r="79" ht="14.2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</row>
    <row r="80" ht="14.2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</row>
    <row r="81" ht="14.2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</row>
    <row r="82" ht="14.2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</row>
    <row r="83" ht="14.2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</row>
    <row r="84" ht="14.2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</row>
    <row r="85" ht="14.2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</row>
    <row r="86" ht="14.2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</row>
    <row r="87" ht="14.2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</row>
    <row r="88" ht="14.2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</row>
    <row r="89" ht="14.2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</row>
    <row r="90" ht="14.2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</row>
    <row r="91" ht="14.2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</row>
    <row r="92" ht="14.2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</row>
    <row r="93" ht="14.2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</row>
    <row r="94" ht="14.2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</row>
    <row r="95" ht="14.2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</row>
    <row r="96" ht="14.2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</row>
    <row r="97" ht="14.2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</row>
    <row r="98" ht="14.2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</row>
    <row r="99" ht="14.2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</row>
    <row r="100" ht="14.2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</row>
    <row r="101" ht="14.2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</row>
    <row r="102" ht="14.2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</row>
    <row r="103" ht="14.2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</row>
    <row r="104" ht="14.2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</row>
    <row r="105" ht="14.2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</row>
    <row r="106" ht="14.2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</row>
    <row r="107" ht="14.2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</row>
    <row r="108" ht="14.2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</row>
    <row r="109" ht="14.2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</row>
    <row r="110" ht="14.2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</row>
    <row r="111" ht="14.2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</row>
    <row r="112" ht="14.2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</row>
    <row r="113" ht="14.2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</row>
    <row r="114" ht="14.2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</row>
    <row r="115" ht="14.2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</row>
    <row r="116" ht="14.2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</row>
    <row r="117" ht="14.2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</row>
    <row r="118" ht="14.2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</row>
    <row r="119" ht="14.2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</row>
    <row r="120" ht="14.2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</row>
    <row r="121" ht="14.2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</row>
    <row r="122" ht="14.2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</row>
    <row r="123" ht="14.2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</row>
    <row r="124" ht="14.2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</row>
    <row r="125" ht="14.2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</row>
    <row r="126" ht="14.2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</row>
    <row r="127" ht="14.2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</row>
    <row r="128" ht="14.2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</row>
    <row r="129" ht="14.2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</row>
    <row r="130" ht="14.2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</row>
    <row r="131" ht="14.2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</row>
    <row r="132" ht="14.2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</row>
    <row r="133" ht="14.2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</row>
    <row r="134" ht="14.2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</row>
    <row r="135" ht="14.2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</row>
    <row r="136" ht="14.2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</row>
    <row r="137" ht="14.2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</row>
    <row r="138" ht="14.2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</row>
    <row r="139" ht="14.2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</row>
    <row r="140" ht="14.2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</row>
    <row r="141" ht="14.2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</row>
    <row r="142" ht="14.2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</row>
    <row r="143" ht="14.2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</row>
    <row r="144" ht="14.2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</row>
    <row r="145" ht="14.2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</row>
    <row r="146" ht="14.2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</row>
    <row r="147" ht="14.2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</row>
    <row r="148" ht="14.2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</row>
    <row r="149" ht="14.2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</row>
    <row r="150" ht="14.2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</row>
    <row r="151" ht="14.2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</row>
    <row r="152" ht="14.2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</row>
    <row r="153" ht="14.2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</row>
    <row r="154" ht="14.2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</row>
    <row r="155" ht="14.2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</row>
    <row r="156" ht="14.2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</row>
    <row r="157" ht="14.2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</row>
    <row r="158" ht="14.2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</row>
    <row r="159" ht="14.2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</row>
    <row r="160" ht="14.2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</row>
    <row r="161" ht="14.2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</row>
    <row r="162" ht="14.2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</row>
    <row r="163" ht="14.2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</row>
    <row r="164" ht="14.2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</row>
    <row r="165" ht="14.2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</row>
    <row r="166" ht="14.2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</row>
    <row r="167" ht="14.2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</row>
    <row r="168" ht="14.2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</row>
    <row r="169" ht="14.2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</row>
    <row r="170" ht="14.2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</row>
    <row r="171" ht="14.2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</row>
    <row r="172" ht="14.2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</row>
    <row r="173" ht="14.2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</row>
    <row r="174" ht="14.2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</row>
    <row r="175" ht="14.2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</row>
    <row r="176" ht="14.2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</row>
    <row r="177" ht="14.2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</row>
    <row r="178" ht="14.2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</row>
    <row r="179" ht="14.2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</row>
    <row r="180" ht="14.2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</row>
    <row r="181" ht="14.2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</row>
    <row r="182" ht="14.2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</row>
    <row r="183" ht="14.2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</row>
    <row r="184" ht="14.2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</row>
    <row r="185" ht="14.2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</row>
    <row r="186" ht="14.2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</row>
    <row r="187" ht="14.2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</row>
    <row r="188" ht="14.2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</row>
    <row r="189" ht="14.2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</row>
    <row r="190" ht="14.2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</row>
    <row r="191" ht="14.2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</row>
    <row r="192" ht="14.2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</row>
    <row r="193" ht="14.2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</row>
    <row r="194" ht="14.2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</row>
    <row r="195" ht="14.2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</row>
    <row r="196" ht="14.2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</row>
    <row r="197" ht="14.2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</row>
    <row r="198" ht="14.2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</row>
    <row r="199" ht="14.2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</row>
    <row r="200" ht="14.2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</row>
    <row r="201" ht="14.2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</row>
    <row r="202" ht="14.2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</row>
    <row r="203" ht="14.2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</row>
    <row r="204" ht="14.2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</row>
    <row r="205" ht="14.2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</row>
    <row r="206" ht="14.2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</row>
    <row r="207" ht="14.2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</row>
    <row r="208" ht="14.2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</row>
    <row r="209" ht="14.2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</row>
    <row r="210" ht="14.2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</row>
    <row r="211" ht="14.2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</row>
    <row r="212" ht="14.2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</row>
    <row r="213" ht="14.2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</row>
    <row r="214" ht="14.2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</row>
    <row r="215" ht="14.2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</row>
    <row r="216" ht="14.2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</row>
    <row r="217" ht="14.2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</row>
    <row r="218" ht="14.2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</row>
    <row r="219" ht="14.2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</row>
    <row r="220" ht="14.2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</row>
    <row r="221" ht="14.2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</row>
    <row r="222" ht="14.2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</row>
    <row r="223" ht="14.2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</row>
    <row r="224" ht="14.2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</row>
    <row r="225" ht="14.2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</row>
    <row r="226" ht="14.2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</row>
    <row r="227" ht="14.2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</row>
    <row r="228" ht="14.2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</row>
    <row r="229" ht="14.2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</row>
    <row r="230" ht="14.2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</row>
    <row r="231" ht="14.2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</row>
    <row r="232" ht="14.2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</row>
    <row r="233" ht="14.2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</row>
    <row r="234" ht="14.2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</row>
    <row r="235" ht="14.2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15" width="8.25"/>
    <col customWidth="1" min="16" max="16" width="2.75"/>
    <col customWidth="1" min="17" max="17" width="2.63"/>
    <col customWidth="1" min="18" max="18" width="19.13"/>
    <col customWidth="1" min="19" max="26" width="14.38"/>
  </cols>
  <sheetData>
    <row r="1" ht="14.25" customHeight="1">
      <c r="A1" s="51"/>
      <c r="B1" s="51" t="s">
        <v>167</v>
      </c>
      <c r="C1" s="51" t="s">
        <v>11</v>
      </c>
      <c r="D1" s="51" t="s">
        <v>2</v>
      </c>
      <c r="E1" s="51" t="s">
        <v>21</v>
      </c>
      <c r="F1" s="51" t="s">
        <v>257</v>
      </c>
      <c r="G1" s="51" t="s">
        <v>12</v>
      </c>
      <c r="H1" s="51" t="s">
        <v>4</v>
      </c>
      <c r="I1" s="51" t="s">
        <v>20</v>
      </c>
      <c r="J1" s="51" t="s">
        <v>5</v>
      </c>
      <c r="K1" s="51" t="s">
        <v>283</v>
      </c>
      <c r="L1" s="51" t="s">
        <v>17</v>
      </c>
      <c r="M1" s="51" t="s">
        <v>284</v>
      </c>
      <c r="N1" s="51" t="s">
        <v>8</v>
      </c>
      <c r="O1" s="51" t="s">
        <v>285</v>
      </c>
      <c r="P1" s="30"/>
      <c r="Q1" s="30"/>
      <c r="R1" s="30"/>
    </row>
    <row r="2" ht="14.25" customHeight="1">
      <c r="A2" s="169">
        <v>0.0</v>
      </c>
      <c r="B2" s="57">
        <v>214.0</v>
      </c>
      <c r="C2" s="57">
        <v>143.5</v>
      </c>
      <c r="D2" s="57">
        <v>179.0</v>
      </c>
      <c r="E2" s="150">
        <v>72.0</v>
      </c>
      <c r="F2" s="57">
        <v>206.0</v>
      </c>
      <c r="G2" s="57">
        <v>143.5</v>
      </c>
      <c r="H2" s="57">
        <v>274.5</v>
      </c>
      <c r="I2" s="150">
        <v>0.0</v>
      </c>
      <c r="J2" s="57">
        <v>135.5</v>
      </c>
      <c r="K2" s="57">
        <v>174.5</v>
      </c>
      <c r="L2" s="57">
        <v>129.0</v>
      </c>
      <c r="M2" s="57">
        <v>222.0</v>
      </c>
      <c r="N2" s="151">
        <f>43+20</f>
        <v>63</v>
      </c>
      <c r="O2" s="151">
        <v>0.0</v>
      </c>
      <c r="P2" s="30"/>
      <c r="Q2" s="30"/>
      <c r="R2" s="30"/>
    </row>
    <row r="3" ht="14.25" customHeight="1">
      <c r="A3" s="169">
        <v>1.0</v>
      </c>
      <c r="B3" s="57">
        <v>188.5</v>
      </c>
      <c r="C3" s="57">
        <v>142.5</v>
      </c>
      <c r="D3" s="57">
        <v>449.0</v>
      </c>
      <c r="E3" s="57">
        <v>210.0</v>
      </c>
      <c r="F3" s="142">
        <v>82.5</v>
      </c>
      <c r="G3" s="57">
        <v>103.0</v>
      </c>
      <c r="H3" s="57">
        <v>219.5</v>
      </c>
      <c r="I3" s="57">
        <v>151.0</v>
      </c>
      <c r="J3" s="57">
        <v>122.5</v>
      </c>
      <c r="K3" s="57">
        <v>284.0</v>
      </c>
      <c r="L3" s="57">
        <v>150.0</v>
      </c>
      <c r="M3" s="57">
        <v>190.0</v>
      </c>
      <c r="N3" s="57">
        <v>206.77000000000004</v>
      </c>
      <c r="O3" s="57">
        <v>103.0</v>
      </c>
      <c r="P3" s="30"/>
      <c r="Q3" s="30"/>
      <c r="R3" s="30"/>
    </row>
    <row r="4" ht="14.25" customHeight="1">
      <c r="A4" s="169">
        <v>2.0</v>
      </c>
      <c r="B4" s="57">
        <v>189.0</v>
      </c>
      <c r="C4" s="57">
        <v>203.0</v>
      </c>
      <c r="D4" s="57">
        <v>398.5</v>
      </c>
      <c r="E4" s="57">
        <v>100.5</v>
      </c>
      <c r="F4" s="57">
        <v>147.5</v>
      </c>
      <c r="G4" s="57">
        <v>107.0</v>
      </c>
      <c r="H4" s="57">
        <v>308.75</v>
      </c>
      <c r="I4" s="57">
        <v>135.0</v>
      </c>
      <c r="J4" s="57">
        <v>101.0</v>
      </c>
      <c r="K4" s="183">
        <v>211.5</v>
      </c>
      <c r="L4" s="57">
        <v>125.0</v>
      </c>
      <c r="M4" s="57">
        <v>269.0</v>
      </c>
      <c r="N4" s="133">
        <v>67.0</v>
      </c>
      <c r="O4" s="57">
        <v>111.5</v>
      </c>
      <c r="P4" s="30"/>
      <c r="Q4" s="30"/>
      <c r="R4" s="30"/>
    </row>
    <row r="5" ht="14.25" customHeight="1">
      <c r="A5" s="169">
        <v>3.0</v>
      </c>
      <c r="B5" s="57">
        <v>233.5</v>
      </c>
      <c r="C5" s="133">
        <v>50.5</v>
      </c>
      <c r="D5" s="57">
        <v>278.5</v>
      </c>
      <c r="E5" s="57">
        <v>121.5</v>
      </c>
      <c r="F5" s="57">
        <v>109.0</v>
      </c>
      <c r="G5" s="57">
        <v>160.0</v>
      </c>
      <c r="H5" s="57">
        <v>237.8</v>
      </c>
      <c r="I5" s="142">
        <v>69.5</v>
      </c>
      <c r="J5" s="57">
        <v>118.0</v>
      </c>
      <c r="K5" s="183">
        <v>187.5</v>
      </c>
      <c r="L5" s="57">
        <v>118.0</v>
      </c>
      <c r="M5" s="57">
        <v>279.8</v>
      </c>
      <c r="N5" s="57">
        <v>124.3</v>
      </c>
      <c r="O5" s="57">
        <v>246.0</v>
      </c>
      <c r="P5" s="30"/>
      <c r="Q5" s="30"/>
      <c r="R5" s="30"/>
    </row>
    <row r="6" ht="14.25" customHeight="1">
      <c r="A6" s="169">
        <v>4.0</v>
      </c>
      <c r="B6" s="57">
        <v>143.5</v>
      </c>
      <c r="C6" s="57">
        <v>182.5</v>
      </c>
      <c r="D6" s="57">
        <v>318.0</v>
      </c>
      <c r="E6" s="57">
        <v>111.0</v>
      </c>
      <c r="F6" s="57">
        <v>100.0</v>
      </c>
      <c r="G6" s="57">
        <v>101.0</v>
      </c>
      <c r="H6" s="57">
        <v>257.55</v>
      </c>
      <c r="I6" s="142">
        <v>0.0</v>
      </c>
      <c r="J6" s="57">
        <v>108.5</v>
      </c>
      <c r="K6" s="57">
        <v>202.0</v>
      </c>
      <c r="L6" s="57">
        <v>185.0</v>
      </c>
      <c r="M6" s="57">
        <v>189.5</v>
      </c>
      <c r="N6" s="57">
        <v>200.0</v>
      </c>
      <c r="O6" s="57">
        <v>123.0</v>
      </c>
      <c r="P6" s="30"/>
      <c r="Q6" s="30"/>
      <c r="R6" s="30"/>
    </row>
    <row r="7" ht="14.25" customHeight="1">
      <c r="A7" s="169">
        <v>5.0</v>
      </c>
      <c r="B7" s="57">
        <v>248.5</v>
      </c>
      <c r="C7" s="57">
        <v>100.5</v>
      </c>
      <c r="D7" s="57">
        <v>388.5</v>
      </c>
      <c r="E7" s="142">
        <v>53.0</v>
      </c>
      <c r="F7" s="142">
        <v>94.5</v>
      </c>
      <c r="G7" s="57">
        <v>110.5</v>
      </c>
      <c r="H7" s="57">
        <v>334.75</v>
      </c>
      <c r="I7" s="57">
        <v>141.0</v>
      </c>
      <c r="J7" s="57">
        <v>145.0</v>
      </c>
      <c r="K7" s="150">
        <v>120.0</v>
      </c>
      <c r="L7" s="57">
        <v>114.0</v>
      </c>
      <c r="M7" s="132">
        <v>104.0</v>
      </c>
      <c r="N7" s="57">
        <v>274.1</v>
      </c>
      <c r="O7" s="57">
        <v>195.0</v>
      </c>
      <c r="P7" s="30"/>
      <c r="Q7" s="30"/>
      <c r="R7" s="30"/>
    </row>
    <row r="8" ht="14.25" customHeight="1">
      <c r="A8" s="169">
        <v>6.0</v>
      </c>
      <c r="B8" s="57">
        <v>206.5</v>
      </c>
      <c r="C8" s="57">
        <v>100.5</v>
      </c>
      <c r="D8" s="57">
        <v>173.0</v>
      </c>
      <c r="E8" s="57">
        <v>105.5</v>
      </c>
      <c r="F8" s="142">
        <v>55.5</v>
      </c>
      <c r="G8" s="57">
        <v>113.0</v>
      </c>
      <c r="H8" s="57">
        <v>429.65</v>
      </c>
      <c r="I8" s="57">
        <v>108.5</v>
      </c>
      <c r="J8" s="57">
        <v>105.5</v>
      </c>
      <c r="K8" s="57">
        <v>286.0</v>
      </c>
      <c r="L8" s="57">
        <v>104.0</v>
      </c>
      <c r="M8" s="57">
        <v>122.5</v>
      </c>
      <c r="N8" s="57">
        <v>146.0</v>
      </c>
      <c r="O8" s="57">
        <v>148.0</v>
      </c>
      <c r="P8" s="30"/>
      <c r="Q8" s="30"/>
      <c r="R8" s="30"/>
    </row>
    <row r="9" ht="14.25" customHeight="1">
      <c r="A9" s="169">
        <v>7.0</v>
      </c>
      <c r="B9" s="57">
        <v>165.5</v>
      </c>
      <c r="C9" s="57">
        <v>100.0</v>
      </c>
      <c r="D9" s="132">
        <v>137.0</v>
      </c>
      <c r="E9" s="57">
        <v>101.0</v>
      </c>
      <c r="F9" s="57">
        <v>227.5</v>
      </c>
      <c r="G9" s="57">
        <v>112.5</v>
      </c>
      <c r="H9" s="57">
        <v>217.5</v>
      </c>
      <c r="I9" s="57">
        <v>101.5</v>
      </c>
      <c r="J9" s="142">
        <v>76.0</v>
      </c>
      <c r="K9" s="57">
        <v>129.0</v>
      </c>
      <c r="L9" s="57">
        <v>132.0</v>
      </c>
      <c r="M9" s="132">
        <v>113.0</v>
      </c>
      <c r="N9" s="57">
        <v>261.0</v>
      </c>
      <c r="O9" s="57">
        <v>292.0</v>
      </c>
      <c r="P9" s="30"/>
      <c r="Q9" s="30"/>
      <c r="R9" s="30"/>
    </row>
    <row r="10" ht="14.25" customHeight="1">
      <c r="A10" s="169">
        <v>8.0</v>
      </c>
      <c r="B10" s="57">
        <v>217.0</v>
      </c>
      <c r="C10" s="57">
        <v>117.0</v>
      </c>
      <c r="D10" s="57">
        <v>320.5</v>
      </c>
      <c r="E10" s="57">
        <v>228.0</v>
      </c>
      <c r="F10" s="57">
        <v>100.5</v>
      </c>
      <c r="G10" s="57">
        <v>115.5</v>
      </c>
      <c r="H10" s="57">
        <v>251.9</v>
      </c>
      <c r="I10" s="57">
        <v>101.0</v>
      </c>
      <c r="J10" s="57">
        <v>102.0</v>
      </c>
      <c r="K10" s="57">
        <v>195.0</v>
      </c>
      <c r="L10" s="57">
        <v>153.0</v>
      </c>
      <c r="M10" s="57">
        <v>154.5</v>
      </c>
      <c r="N10" s="57">
        <v>230.5</v>
      </c>
      <c r="O10" s="57">
        <v>199.0</v>
      </c>
      <c r="P10" s="30"/>
      <c r="Q10" s="30"/>
      <c r="R10" s="30"/>
    </row>
    <row r="11" ht="14.25" customHeight="1">
      <c r="A11" s="169">
        <v>9.0</v>
      </c>
      <c r="B11" s="132">
        <v>110.0</v>
      </c>
      <c r="C11" s="57">
        <v>103.0</v>
      </c>
      <c r="D11" s="57">
        <v>215.0</v>
      </c>
      <c r="E11" s="141">
        <v>0.0</v>
      </c>
      <c r="F11" s="57">
        <v>144.0</v>
      </c>
      <c r="G11" s="57">
        <v>143.0</v>
      </c>
      <c r="H11" s="132">
        <v>103.0</v>
      </c>
      <c r="I11" s="57">
        <v>122.5</v>
      </c>
      <c r="J11" s="57">
        <v>100.5</v>
      </c>
      <c r="K11" s="57">
        <v>110.0</v>
      </c>
      <c r="L11" s="150">
        <v>87.0</v>
      </c>
      <c r="M11" s="57">
        <v>266.0</v>
      </c>
      <c r="N11" s="57">
        <v>271.15</v>
      </c>
      <c r="O11" s="57">
        <v>127.5</v>
      </c>
      <c r="P11" s="30"/>
      <c r="Q11" s="30"/>
      <c r="R11" s="30"/>
    </row>
    <row r="12" ht="14.25" customHeight="1">
      <c r="A12" s="169">
        <v>10.0</v>
      </c>
      <c r="B12" s="132">
        <v>115.0</v>
      </c>
      <c r="C12" s="57">
        <v>100.5</v>
      </c>
      <c r="D12" s="57">
        <v>175.0</v>
      </c>
      <c r="E12" s="57">
        <v>101.0</v>
      </c>
      <c r="F12" s="142">
        <v>80.0</v>
      </c>
      <c r="G12" s="57">
        <v>100.5</v>
      </c>
      <c r="H12" s="57">
        <v>290.75</v>
      </c>
      <c r="I12" s="57">
        <v>101.0</v>
      </c>
      <c r="J12" s="57">
        <v>107.0</v>
      </c>
      <c r="K12" s="57">
        <v>169.5</v>
      </c>
      <c r="L12" s="57">
        <v>100.0</v>
      </c>
      <c r="M12" s="57">
        <v>245.0</v>
      </c>
      <c r="N12" s="57">
        <v>140.0</v>
      </c>
      <c r="O12" s="57">
        <v>104.0</v>
      </c>
      <c r="P12" s="30"/>
      <c r="Q12" s="30"/>
      <c r="R12" s="30"/>
    </row>
    <row r="13" ht="14.25" customHeight="1">
      <c r="A13" s="169">
        <v>11.0</v>
      </c>
      <c r="B13" s="57">
        <v>182.5</v>
      </c>
      <c r="C13" s="57">
        <v>152.5</v>
      </c>
      <c r="D13" s="57">
        <v>357.0</v>
      </c>
      <c r="E13" s="57">
        <v>101.0</v>
      </c>
      <c r="F13" s="57">
        <v>113.0</v>
      </c>
      <c r="G13" s="57">
        <v>102.0</v>
      </c>
      <c r="H13" s="57">
        <v>184.5</v>
      </c>
      <c r="I13" s="142">
        <v>7.0</v>
      </c>
      <c r="J13" s="57">
        <v>114.0</v>
      </c>
      <c r="K13" s="57">
        <v>149.0</v>
      </c>
      <c r="L13" s="133">
        <v>37.0</v>
      </c>
      <c r="M13" s="57">
        <v>298.0</v>
      </c>
      <c r="N13" s="57">
        <v>126.26666666666668</v>
      </c>
      <c r="O13" s="133">
        <v>25.0</v>
      </c>
      <c r="P13" s="30"/>
      <c r="Q13" s="30"/>
      <c r="R13" s="30"/>
    </row>
    <row r="14" ht="14.25" customHeight="1">
      <c r="A14" s="169">
        <v>12.0</v>
      </c>
      <c r="B14" s="57">
        <v>252.0</v>
      </c>
      <c r="C14" s="57">
        <v>216.5</v>
      </c>
      <c r="D14" s="57">
        <v>173.0</v>
      </c>
      <c r="E14" s="57">
        <v>101.0</v>
      </c>
      <c r="F14" s="142">
        <v>90.0</v>
      </c>
      <c r="G14" s="57">
        <v>101.0</v>
      </c>
      <c r="H14" s="57">
        <v>182.0</v>
      </c>
      <c r="I14" s="150">
        <v>0.0</v>
      </c>
      <c r="J14" s="57">
        <v>127.0</v>
      </c>
      <c r="K14" s="150">
        <v>0.0</v>
      </c>
      <c r="L14" s="142">
        <v>80.0</v>
      </c>
      <c r="M14" s="57">
        <v>275.0</v>
      </c>
      <c r="N14" s="57">
        <v>252.81666666666666</v>
      </c>
      <c r="O14" s="57">
        <v>188.0</v>
      </c>
      <c r="P14" s="30"/>
      <c r="Q14" s="30"/>
      <c r="R14" s="30"/>
    </row>
    <row r="15" ht="14.25" customHeight="1">
      <c r="A15" s="169">
        <v>13.0</v>
      </c>
      <c r="B15" s="57">
        <v>170.0</v>
      </c>
      <c r="C15" s="57">
        <v>110.5</v>
      </c>
      <c r="D15" s="57">
        <v>258.0</v>
      </c>
      <c r="E15" s="141">
        <v>0.0</v>
      </c>
      <c r="F15" s="150">
        <v>89.0</v>
      </c>
      <c r="G15" s="57">
        <v>116.5</v>
      </c>
      <c r="H15" s="57">
        <v>183.5</v>
      </c>
      <c r="I15" s="57">
        <v>101.5</v>
      </c>
      <c r="J15" s="142">
        <v>81.5</v>
      </c>
      <c r="K15" s="57">
        <v>155.0</v>
      </c>
      <c r="L15" s="57">
        <v>101.0</v>
      </c>
      <c r="M15" s="57">
        <v>281.0</v>
      </c>
      <c r="N15" s="57">
        <v>212.9</v>
      </c>
      <c r="O15" s="57">
        <v>111.0</v>
      </c>
      <c r="P15" s="30"/>
      <c r="Q15" s="30"/>
      <c r="R15" s="30"/>
    </row>
    <row r="16" ht="14.25" customHeight="1">
      <c r="A16" s="169">
        <v>14.0</v>
      </c>
      <c r="B16" s="57">
        <v>280.0</v>
      </c>
      <c r="C16" s="57">
        <v>132.5</v>
      </c>
      <c r="D16" s="57">
        <v>299.5</v>
      </c>
      <c r="E16" s="57">
        <v>107.0</v>
      </c>
      <c r="F16" s="151">
        <v>0.0</v>
      </c>
      <c r="G16" s="57">
        <v>101.0</v>
      </c>
      <c r="H16" s="57">
        <v>321.0</v>
      </c>
      <c r="I16" s="57">
        <v>109.0</v>
      </c>
      <c r="J16" s="57">
        <v>103.5</v>
      </c>
      <c r="K16" s="150">
        <v>0.0</v>
      </c>
      <c r="L16" s="57">
        <v>129.0</v>
      </c>
      <c r="M16" s="57">
        <v>294.0</v>
      </c>
      <c r="N16" s="57">
        <v>135.56666666666666</v>
      </c>
      <c r="O16" s="57">
        <v>111.0</v>
      </c>
      <c r="P16" s="30"/>
      <c r="Q16" s="30"/>
      <c r="R16" s="30"/>
    </row>
    <row r="17" ht="14.25" customHeight="1">
      <c r="A17" s="169">
        <v>15.0</v>
      </c>
      <c r="B17" s="57">
        <v>255.0</v>
      </c>
      <c r="C17" s="57">
        <v>133.0</v>
      </c>
      <c r="D17" s="57">
        <v>172.5</v>
      </c>
      <c r="E17" s="57">
        <v>100.5</v>
      </c>
      <c r="F17" s="57">
        <v>159.5</v>
      </c>
      <c r="G17" s="57">
        <v>152.5</v>
      </c>
      <c r="H17" s="57">
        <v>292.0</v>
      </c>
      <c r="I17" s="150">
        <v>19.5</v>
      </c>
      <c r="J17" s="150">
        <v>0.0</v>
      </c>
      <c r="K17" s="150">
        <v>0.0</v>
      </c>
      <c r="L17" s="133">
        <v>53.0</v>
      </c>
      <c r="M17" s="57">
        <v>280.0</v>
      </c>
      <c r="N17" s="57">
        <v>142.75</v>
      </c>
      <c r="O17" s="57">
        <v>141.0</v>
      </c>
      <c r="P17" s="30"/>
      <c r="Q17" s="30"/>
      <c r="R17" s="30"/>
    </row>
    <row r="18" ht="14.25" customHeight="1">
      <c r="A18" s="169">
        <v>16.0</v>
      </c>
      <c r="B18" s="57">
        <v>207.5</v>
      </c>
      <c r="C18" s="57">
        <v>127.5</v>
      </c>
      <c r="D18" s="57">
        <v>186.0</v>
      </c>
      <c r="E18" s="57">
        <v>108.0</v>
      </c>
      <c r="F18" s="57">
        <v>101.0</v>
      </c>
      <c r="G18" s="57">
        <v>128.0</v>
      </c>
      <c r="H18" s="132">
        <v>132.5</v>
      </c>
      <c r="I18" s="150">
        <v>0.0</v>
      </c>
      <c r="J18" s="150">
        <v>0.0</v>
      </c>
      <c r="K18" s="150">
        <v>0.0</v>
      </c>
      <c r="L18" s="57">
        <v>100.0</v>
      </c>
      <c r="M18" s="57">
        <v>267.0</v>
      </c>
      <c r="N18" s="57">
        <v>111.33333333333333</v>
      </c>
      <c r="O18" s="57">
        <v>150.5</v>
      </c>
      <c r="P18" s="30"/>
      <c r="Q18" s="30"/>
      <c r="R18" s="30"/>
    </row>
    <row r="19" ht="14.25" customHeight="1">
      <c r="A19" s="169">
        <v>17.0</v>
      </c>
      <c r="B19" s="57">
        <v>123.5</v>
      </c>
      <c r="C19" s="142">
        <v>72.5</v>
      </c>
      <c r="D19" s="57">
        <v>189.5</v>
      </c>
      <c r="E19" s="57">
        <v>115.5</v>
      </c>
      <c r="F19" s="57">
        <v>106.0</v>
      </c>
      <c r="G19" s="57">
        <v>101.0</v>
      </c>
      <c r="H19" s="57">
        <v>240.5</v>
      </c>
      <c r="I19" s="142">
        <v>13.0</v>
      </c>
      <c r="J19" s="151">
        <v>0.0</v>
      </c>
      <c r="K19" s="150">
        <v>0.0</v>
      </c>
      <c r="L19" s="57">
        <v>114.0</v>
      </c>
      <c r="M19" s="57">
        <v>238.0</v>
      </c>
      <c r="N19" s="57">
        <v>163.7</v>
      </c>
      <c r="O19" s="57">
        <v>132.0</v>
      </c>
      <c r="P19" s="30"/>
      <c r="Q19" s="30"/>
      <c r="R19" s="30"/>
    </row>
    <row r="20" ht="14.25" customHeight="1">
      <c r="A20" s="169">
        <v>18.0</v>
      </c>
      <c r="B20" s="57">
        <v>156.5</v>
      </c>
      <c r="C20" s="57">
        <v>112.5</v>
      </c>
      <c r="D20" s="57">
        <v>150.5</v>
      </c>
      <c r="E20" s="150">
        <v>0.0</v>
      </c>
      <c r="F20" s="57">
        <v>119.5</v>
      </c>
      <c r="G20" s="57">
        <v>107.0</v>
      </c>
      <c r="H20" s="57">
        <v>218.75</v>
      </c>
      <c r="I20" s="142">
        <v>25.0</v>
      </c>
      <c r="J20" s="151">
        <v>0.0</v>
      </c>
      <c r="K20" s="150">
        <v>0.0</v>
      </c>
      <c r="L20" s="57">
        <v>105.0</v>
      </c>
      <c r="M20" s="57">
        <v>347.5</v>
      </c>
      <c r="N20" s="57">
        <v>150.31666666666666</v>
      </c>
      <c r="O20" s="57">
        <v>102.0</v>
      </c>
      <c r="P20" s="30"/>
      <c r="Q20" s="30"/>
      <c r="R20" s="30"/>
    </row>
    <row r="21" ht="14.25" customHeight="1">
      <c r="A21" s="169">
        <v>19.0</v>
      </c>
      <c r="B21" s="57">
        <v>175.5</v>
      </c>
      <c r="C21" s="151">
        <v>37.5</v>
      </c>
      <c r="D21" s="57">
        <v>187.5</v>
      </c>
      <c r="E21" s="150">
        <v>0.0</v>
      </c>
      <c r="F21" s="150">
        <v>70.0</v>
      </c>
      <c r="G21" s="151">
        <v>0.0</v>
      </c>
      <c r="H21" s="57">
        <v>241.5</v>
      </c>
      <c r="I21" s="133">
        <v>0.0</v>
      </c>
      <c r="J21" s="57">
        <v>107.0</v>
      </c>
      <c r="K21" s="150">
        <v>0.0</v>
      </c>
      <c r="L21" s="142">
        <v>83.0</v>
      </c>
      <c r="M21" s="57">
        <v>519.0</v>
      </c>
      <c r="N21" s="57">
        <v>104.66666666666666</v>
      </c>
      <c r="O21" s="57">
        <v>150.5</v>
      </c>
      <c r="P21" s="30"/>
      <c r="Q21" s="30"/>
      <c r="R21" s="30"/>
    </row>
    <row r="22" ht="14.25" customHeight="1">
      <c r="A22" s="169">
        <v>20.0</v>
      </c>
      <c r="B22" s="57">
        <v>118.0</v>
      </c>
      <c r="C22" s="57">
        <v>100.0</v>
      </c>
      <c r="D22" s="175">
        <v>142.0</v>
      </c>
      <c r="E22" s="176">
        <v>0.0</v>
      </c>
      <c r="F22" s="57">
        <v>115.5</v>
      </c>
      <c r="G22" s="57">
        <v>100.5</v>
      </c>
      <c r="H22" s="57">
        <v>201.5</v>
      </c>
      <c r="I22" s="133">
        <v>0.0</v>
      </c>
      <c r="J22" s="57">
        <v>102.5</v>
      </c>
      <c r="K22" s="150">
        <v>0.0</v>
      </c>
      <c r="L22" s="57">
        <v>128.0</v>
      </c>
      <c r="M22" s="57">
        <v>150.0</v>
      </c>
      <c r="N22" s="57">
        <f>56.5+71.2</f>
        <v>127.7</v>
      </c>
      <c r="O22" s="57">
        <v>128.0</v>
      </c>
      <c r="P22" s="30"/>
      <c r="Q22" s="59"/>
      <c r="R22" s="30" t="s">
        <v>120</v>
      </c>
    </row>
    <row r="23" ht="14.25" customHeight="1">
      <c r="A23" s="169">
        <v>21.0</v>
      </c>
      <c r="B23" s="57">
        <v>165.5</v>
      </c>
      <c r="C23" s="133">
        <v>37.5</v>
      </c>
      <c r="D23" s="57">
        <v>253.0</v>
      </c>
      <c r="E23" s="151">
        <v>0.0</v>
      </c>
      <c r="F23" s="142">
        <v>69.0</v>
      </c>
      <c r="G23" s="57">
        <v>100.5</v>
      </c>
      <c r="H23" s="57">
        <v>211.5</v>
      </c>
      <c r="I23" s="57">
        <v>105.5</v>
      </c>
      <c r="J23" s="57">
        <v>110.0</v>
      </c>
      <c r="K23" s="150">
        <v>0.0</v>
      </c>
      <c r="L23" s="57">
        <v>112.0</v>
      </c>
      <c r="M23" s="132">
        <v>113.0</v>
      </c>
      <c r="N23" s="57">
        <v>232.96666666666667</v>
      </c>
      <c r="O23" s="57">
        <v>131.0</v>
      </c>
      <c r="P23" s="30"/>
      <c r="Q23" s="62"/>
      <c r="R23" s="30" t="s">
        <v>121</v>
      </c>
    </row>
    <row r="24" ht="14.25" customHeight="1">
      <c r="A24" s="169">
        <v>22.0</v>
      </c>
      <c r="B24" s="57">
        <v>127.5</v>
      </c>
      <c r="C24" s="57">
        <v>112.5</v>
      </c>
      <c r="D24" s="57">
        <v>233.0</v>
      </c>
      <c r="E24" s="57">
        <v>102.0</v>
      </c>
      <c r="F24" s="153">
        <v>48.0</v>
      </c>
      <c r="G24" s="151">
        <v>0.0</v>
      </c>
      <c r="H24" s="57">
        <v>190.0</v>
      </c>
      <c r="I24" s="57">
        <v>104.0</v>
      </c>
      <c r="J24" s="57">
        <v>112.5</v>
      </c>
      <c r="K24" s="151">
        <v>0.0</v>
      </c>
      <c r="L24" s="57">
        <v>101.0</v>
      </c>
      <c r="M24" s="57">
        <v>302.0</v>
      </c>
      <c r="N24" s="57">
        <v>138.25</v>
      </c>
      <c r="O24" s="57">
        <v>155.0</v>
      </c>
      <c r="P24" s="30"/>
      <c r="Q24" s="184"/>
      <c r="R24" s="30" t="s">
        <v>122</v>
      </c>
    </row>
    <row r="25" ht="14.25" customHeight="1">
      <c r="A25" s="169">
        <v>23.0</v>
      </c>
      <c r="B25" s="57">
        <v>126.5</v>
      </c>
      <c r="C25" s="57">
        <v>100.5</v>
      </c>
      <c r="D25" s="57">
        <v>453.0</v>
      </c>
      <c r="E25" s="146">
        <v>0.0</v>
      </c>
      <c r="F25" s="146">
        <v>45.0</v>
      </c>
      <c r="G25" s="57">
        <v>101.0</v>
      </c>
      <c r="H25" s="57">
        <v>182.7</v>
      </c>
      <c r="I25" s="133">
        <v>0.0</v>
      </c>
      <c r="J25" s="57">
        <v>112.0</v>
      </c>
      <c r="K25" s="151">
        <v>0.0</v>
      </c>
      <c r="L25" s="153">
        <v>72.0</v>
      </c>
      <c r="M25" s="57">
        <v>480.5</v>
      </c>
      <c r="N25" s="146">
        <v>88.16666666666666</v>
      </c>
      <c r="O25" s="57">
        <v>140.0</v>
      </c>
      <c r="P25" s="30"/>
      <c r="Q25" s="64"/>
      <c r="R25" s="30" t="s">
        <v>123</v>
      </c>
    </row>
    <row r="26" ht="14.25" customHeight="1">
      <c r="A26" s="169">
        <v>24.0</v>
      </c>
      <c r="B26" s="132">
        <v>100.5</v>
      </c>
      <c r="C26" s="150">
        <v>90.0</v>
      </c>
      <c r="D26" s="132">
        <v>101.0</v>
      </c>
      <c r="E26" s="150">
        <v>50.0</v>
      </c>
      <c r="F26" s="151">
        <v>35.5</v>
      </c>
      <c r="G26" s="151">
        <v>0.0</v>
      </c>
      <c r="H26" s="132">
        <v>160.6</v>
      </c>
      <c r="I26" s="150">
        <v>30.0</v>
      </c>
      <c r="J26" s="151">
        <v>0.0</v>
      </c>
      <c r="K26" s="151">
        <v>0.0</v>
      </c>
      <c r="L26" s="151">
        <v>56.0</v>
      </c>
      <c r="M26" s="57">
        <v>384.0</v>
      </c>
      <c r="N26" s="150">
        <v>93.83333333333334</v>
      </c>
      <c r="O26" s="132">
        <v>100.0</v>
      </c>
      <c r="P26" s="30"/>
      <c r="Q26" s="30"/>
      <c r="R26" s="30"/>
    </row>
    <row r="27" ht="14.25" customHeight="1">
      <c r="A27" s="66" t="s">
        <v>126</v>
      </c>
      <c r="B27" s="155">
        <f t="shared" ref="B27:O27" si="1">SUM(B2:B26)</f>
        <v>4471.5</v>
      </c>
      <c r="C27" s="155">
        <f t="shared" si="1"/>
        <v>2879</v>
      </c>
      <c r="D27" s="155">
        <f t="shared" si="1"/>
        <v>6187.5</v>
      </c>
      <c r="E27" s="155">
        <f t="shared" si="1"/>
        <v>1988.5</v>
      </c>
      <c r="F27" s="155">
        <f t="shared" si="1"/>
        <v>2508</v>
      </c>
      <c r="G27" s="155">
        <f t="shared" si="1"/>
        <v>2520.5</v>
      </c>
      <c r="H27" s="155">
        <f t="shared" si="1"/>
        <v>5868.2</v>
      </c>
      <c r="I27" s="155">
        <f t="shared" si="1"/>
        <v>1545.5</v>
      </c>
      <c r="J27" s="155">
        <f t="shared" si="1"/>
        <v>2191.5</v>
      </c>
      <c r="K27" s="155">
        <f t="shared" si="1"/>
        <v>2373</v>
      </c>
      <c r="L27" s="155">
        <f t="shared" si="1"/>
        <v>2668</v>
      </c>
      <c r="M27" s="155">
        <f t="shared" si="1"/>
        <v>6384.3</v>
      </c>
      <c r="N27" s="155">
        <f t="shared" si="1"/>
        <v>4065.053333</v>
      </c>
      <c r="O27" s="155">
        <f t="shared" si="1"/>
        <v>3414</v>
      </c>
      <c r="P27" s="30"/>
    </row>
    <row r="28" ht="14.25" customHeight="1">
      <c r="A28" s="156" t="s">
        <v>127</v>
      </c>
      <c r="B28" s="158">
        <f t="shared" ref="B28:O28" si="2">AVERAGE(B2:B26)</f>
        <v>178.86</v>
      </c>
      <c r="C28" s="158">
        <f t="shared" si="2"/>
        <v>115.16</v>
      </c>
      <c r="D28" s="158">
        <f t="shared" si="2"/>
        <v>247.5</v>
      </c>
      <c r="E28" s="158">
        <f t="shared" si="2"/>
        <v>79.54</v>
      </c>
      <c r="F28" s="158">
        <f t="shared" si="2"/>
        <v>100.32</v>
      </c>
      <c r="G28" s="158">
        <f t="shared" si="2"/>
        <v>100.82</v>
      </c>
      <c r="H28" s="158">
        <f t="shared" si="2"/>
        <v>234.728</v>
      </c>
      <c r="I28" s="158">
        <f t="shared" si="2"/>
        <v>61.82</v>
      </c>
      <c r="J28" s="158">
        <f t="shared" si="2"/>
        <v>87.66</v>
      </c>
      <c r="K28" s="158">
        <f t="shared" si="2"/>
        <v>94.92</v>
      </c>
      <c r="L28" s="158">
        <f t="shared" si="2"/>
        <v>106.72</v>
      </c>
      <c r="M28" s="158">
        <f t="shared" si="2"/>
        <v>255.372</v>
      </c>
      <c r="N28" s="158">
        <f t="shared" si="2"/>
        <v>162.6021333</v>
      </c>
      <c r="O28" s="158">
        <f t="shared" si="2"/>
        <v>136.56</v>
      </c>
      <c r="P28" s="30"/>
      <c r="Q28" s="30"/>
      <c r="R28" s="30"/>
    </row>
    <row r="29" ht="14.25" customHeight="1">
      <c r="A29" s="156" t="s">
        <v>128</v>
      </c>
      <c r="B29" s="158">
        <f>SUM(B26+B12+B11)</f>
        <v>325.5</v>
      </c>
      <c r="C29" s="158">
        <f>SUM(C23+C21+C5)</f>
        <v>125.5</v>
      </c>
      <c r="D29" s="158">
        <f>SUM(D26+D22+D9)</f>
        <v>380</v>
      </c>
      <c r="E29" s="158">
        <v>0.0</v>
      </c>
      <c r="F29" s="158">
        <f>SUM(F26+F25)</f>
        <v>80.5</v>
      </c>
      <c r="G29" s="158">
        <v>0.0</v>
      </c>
      <c r="H29" s="158">
        <f>SUM(H26+H18+H11)</f>
        <v>396.1</v>
      </c>
      <c r="I29" s="158">
        <v>0.0</v>
      </c>
      <c r="J29" s="158">
        <v>0.0</v>
      </c>
      <c r="K29" s="158">
        <v>0.0</v>
      </c>
      <c r="L29" s="158">
        <f>SUM(L26+L17+L13)</f>
        <v>146</v>
      </c>
      <c r="M29" s="158">
        <f>SUM(M23+M9+M7)</f>
        <v>330</v>
      </c>
      <c r="N29" s="158">
        <f>SUM(N25+N4+N2)</f>
        <v>218.1666667</v>
      </c>
      <c r="O29" s="158">
        <f>SUM(O26+O13+O2)</f>
        <v>125</v>
      </c>
      <c r="P29" s="30"/>
      <c r="Q29" s="30"/>
      <c r="R29" s="30"/>
    </row>
    <row r="30" ht="14.25" customHeight="1">
      <c r="A30" s="156" t="s">
        <v>129</v>
      </c>
      <c r="B30" s="158">
        <v>300.0</v>
      </c>
      <c r="C30" s="158">
        <v>0.0</v>
      </c>
      <c r="D30" s="158">
        <v>300.0</v>
      </c>
      <c r="E30" s="158">
        <v>0.0</v>
      </c>
      <c r="F30" s="158">
        <v>0.0</v>
      </c>
      <c r="G30" s="158">
        <v>0.0</v>
      </c>
      <c r="H30" s="158">
        <v>300.0</v>
      </c>
      <c r="I30" s="158">
        <v>0.0</v>
      </c>
      <c r="J30" s="158">
        <v>0.0</v>
      </c>
      <c r="K30" s="158">
        <v>0.0</v>
      </c>
      <c r="L30" s="158">
        <v>0.0</v>
      </c>
      <c r="M30" s="158">
        <v>300.0</v>
      </c>
      <c r="N30" s="158">
        <v>0.0</v>
      </c>
      <c r="O30" s="158">
        <v>0.0</v>
      </c>
      <c r="P30" s="30"/>
      <c r="Q30" s="30"/>
      <c r="R30" s="30"/>
    </row>
    <row r="31" ht="14.25" customHeight="1">
      <c r="A31" s="66" t="s">
        <v>130</v>
      </c>
      <c r="B31" s="155">
        <f t="shared" ref="B31:O31" si="3">B27-B29+B30</f>
        <v>4446</v>
      </c>
      <c r="C31" s="155">
        <f t="shared" si="3"/>
        <v>2753.5</v>
      </c>
      <c r="D31" s="155">
        <f t="shared" si="3"/>
        <v>6107.5</v>
      </c>
      <c r="E31" s="155">
        <f t="shared" si="3"/>
        <v>1988.5</v>
      </c>
      <c r="F31" s="155">
        <f t="shared" si="3"/>
        <v>2427.5</v>
      </c>
      <c r="G31" s="155">
        <f t="shared" si="3"/>
        <v>2520.5</v>
      </c>
      <c r="H31" s="155">
        <f t="shared" si="3"/>
        <v>5772.1</v>
      </c>
      <c r="I31" s="155">
        <f t="shared" si="3"/>
        <v>1545.5</v>
      </c>
      <c r="J31" s="155">
        <f t="shared" si="3"/>
        <v>2191.5</v>
      </c>
      <c r="K31" s="155">
        <f t="shared" si="3"/>
        <v>2373</v>
      </c>
      <c r="L31" s="155">
        <f t="shared" si="3"/>
        <v>2522</v>
      </c>
      <c r="M31" s="155">
        <f t="shared" si="3"/>
        <v>6354.3</v>
      </c>
      <c r="N31" s="155">
        <f t="shared" si="3"/>
        <v>3846.886667</v>
      </c>
      <c r="O31" s="155">
        <f t="shared" si="3"/>
        <v>3289</v>
      </c>
      <c r="P31" s="30"/>
      <c r="Q31" s="30"/>
      <c r="R31" s="30"/>
    </row>
    <row r="32" ht="14.25" customHeight="1">
      <c r="A32" s="159" t="s">
        <v>131</v>
      </c>
      <c r="B32" s="160">
        <f>RANK(B31,B31:O31)</f>
        <v>4</v>
      </c>
      <c r="C32" s="160">
        <f>RANK(C31,B31:O31)</f>
        <v>7</v>
      </c>
      <c r="D32" s="160">
        <f>RANK(D31,B31:O31)</f>
        <v>2</v>
      </c>
      <c r="E32" s="160">
        <f>RANK(E31,B31:O31)</f>
        <v>13</v>
      </c>
      <c r="F32" s="160">
        <f>RANK(F31,B31:O31)</f>
        <v>10</v>
      </c>
      <c r="G32" s="160">
        <f>RANK(G31,B31:O31)</f>
        <v>9</v>
      </c>
      <c r="H32" s="160">
        <f>RANK(H31,B31:O31)</f>
        <v>3</v>
      </c>
      <c r="I32" s="160">
        <f>RANK(I31,B31:O31)</f>
        <v>14</v>
      </c>
      <c r="J32" s="160">
        <f>RANK(J31,B31:O31)</f>
        <v>12</v>
      </c>
      <c r="K32" s="160">
        <f>RANK(K31,B31:O31)</f>
        <v>11</v>
      </c>
      <c r="L32" s="160">
        <f>RANK(L31,B31:O31)</f>
        <v>8</v>
      </c>
      <c r="M32" s="160">
        <f>RANK(M31,B31:O31)</f>
        <v>1</v>
      </c>
      <c r="N32" s="160">
        <f>RANK(N31,B31:O31)</f>
        <v>5</v>
      </c>
      <c r="O32" s="160">
        <f>RANK(O31,B31:O31)</f>
        <v>6</v>
      </c>
      <c r="P32" s="30"/>
      <c r="Q32" s="30"/>
      <c r="R32" s="30"/>
    </row>
    <row r="33" ht="14.25" customHeight="1">
      <c r="A33" s="156" t="s">
        <v>132</v>
      </c>
      <c r="B33" s="161">
        <v>0.0</v>
      </c>
      <c r="C33" s="161">
        <v>250.0</v>
      </c>
      <c r="D33" s="161">
        <v>0.0</v>
      </c>
      <c r="E33" s="161">
        <v>300.0</v>
      </c>
      <c r="F33" s="161">
        <v>2700.0</v>
      </c>
      <c r="G33" s="161">
        <v>0.0</v>
      </c>
      <c r="H33" s="161">
        <v>0.0</v>
      </c>
      <c r="I33" s="161">
        <v>750.0</v>
      </c>
      <c r="J33" s="161">
        <v>680.0</v>
      </c>
      <c r="K33" s="161">
        <v>730.0</v>
      </c>
      <c r="L33" s="161">
        <v>500.0</v>
      </c>
      <c r="M33" s="161">
        <v>0.0</v>
      </c>
      <c r="N33" s="161">
        <v>230.0</v>
      </c>
      <c r="O33" s="161">
        <v>100.0</v>
      </c>
      <c r="P33" s="30"/>
      <c r="Q33" s="30"/>
    </row>
    <row r="34" ht="14.25" customHeight="1">
      <c r="A34" s="156" t="s">
        <v>133</v>
      </c>
      <c r="B34" s="161">
        <v>100.0</v>
      </c>
      <c r="C34" s="161">
        <v>200.0</v>
      </c>
      <c r="D34" s="161">
        <v>0.0</v>
      </c>
      <c r="E34" s="161">
        <v>500.0</v>
      </c>
      <c r="F34" s="161">
        <v>300.0</v>
      </c>
      <c r="G34" s="161">
        <v>200.0</v>
      </c>
      <c r="H34" s="161">
        <v>0.0</v>
      </c>
      <c r="I34" s="161">
        <v>500.0</v>
      </c>
      <c r="J34" s="161">
        <v>300.0</v>
      </c>
      <c r="K34" s="161">
        <v>300.0</v>
      </c>
      <c r="L34" s="161">
        <v>200.0</v>
      </c>
      <c r="M34" s="161">
        <v>0.0</v>
      </c>
      <c r="N34" s="161">
        <v>100.0</v>
      </c>
      <c r="O34" s="161">
        <v>100.0</v>
      </c>
      <c r="P34" s="30"/>
      <c r="Q34" s="30"/>
      <c r="R34" s="79"/>
      <c r="S34" s="162"/>
    </row>
    <row r="35" ht="14.25" customHeight="1">
      <c r="A35" s="159" t="s">
        <v>134</v>
      </c>
      <c r="B35" s="162">
        <f t="shared" ref="B35:O35" si="4">SUM(B33:B34)</f>
        <v>100</v>
      </c>
      <c r="C35" s="162">
        <f t="shared" si="4"/>
        <v>450</v>
      </c>
      <c r="D35" s="162">
        <f t="shared" si="4"/>
        <v>0</v>
      </c>
      <c r="E35" s="162">
        <f t="shared" si="4"/>
        <v>800</v>
      </c>
      <c r="F35" s="162">
        <f t="shared" si="4"/>
        <v>3000</v>
      </c>
      <c r="G35" s="162">
        <f t="shared" si="4"/>
        <v>200</v>
      </c>
      <c r="H35" s="162">
        <f t="shared" si="4"/>
        <v>0</v>
      </c>
      <c r="I35" s="162">
        <f t="shared" si="4"/>
        <v>1250</v>
      </c>
      <c r="J35" s="162">
        <f t="shared" si="4"/>
        <v>980</v>
      </c>
      <c r="K35" s="162">
        <f t="shared" si="4"/>
        <v>1030</v>
      </c>
      <c r="L35" s="162">
        <f t="shared" si="4"/>
        <v>700</v>
      </c>
      <c r="M35" s="162">
        <f t="shared" si="4"/>
        <v>0</v>
      </c>
      <c r="N35" s="162">
        <f t="shared" si="4"/>
        <v>330</v>
      </c>
      <c r="O35" s="162">
        <f t="shared" si="4"/>
        <v>200</v>
      </c>
      <c r="P35" s="30"/>
      <c r="Q35" s="30"/>
      <c r="R35" s="79" t="s">
        <v>135</v>
      </c>
      <c r="S35" s="162">
        <f>SUM(B35:M35)</f>
        <v>8510</v>
      </c>
    </row>
    <row r="36" ht="14.25" customHeight="1">
      <c r="A36" s="69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</row>
    <row r="37" ht="14.25" customHeight="1">
      <c r="A37" s="164" t="s">
        <v>138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ht="14.25" customHeight="1">
      <c r="A38" s="51" t="s">
        <v>118</v>
      </c>
      <c r="B38" s="51" t="s">
        <v>139</v>
      </c>
      <c r="C38" s="51" t="s">
        <v>140</v>
      </c>
      <c r="D38" s="51" t="s">
        <v>231</v>
      </c>
      <c r="E38" s="51" t="s">
        <v>137</v>
      </c>
      <c r="F38" s="51" t="s">
        <v>232</v>
      </c>
      <c r="G38" s="51" t="s">
        <v>233</v>
      </c>
      <c r="H38" s="69"/>
      <c r="I38" s="69"/>
      <c r="J38" s="69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ht="14.25" customHeight="1">
      <c r="A39" s="169">
        <v>0.0</v>
      </c>
      <c r="B39" s="165" t="s">
        <v>26</v>
      </c>
      <c r="C39" s="165" t="s">
        <v>26</v>
      </c>
      <c r="D39" s="165" t="s">
        <v>26</v>
      </c>
      <c r="E39" s="165" t="s">
        <v>26</v>
      </c>
      <c r="F39" s="165" t="s">
        <v>26</v>
      </c>
      <c r="G39" s="165" t="s">
        <v>26</v>
      </c>
      <c r="H39" s="69"/>
      <c r="I39" s="69"/>
      <c r="J39" s="69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ht="14.25" customHeight="1">
      <c r="A40" s="169">
        <v>1.0</v>
      </c>
      <c r="B40" s="165" t="s">
        <v>167</v>
      </c>
      <c r="C40" s="165" t="s">
        <v>286</v>
      </c>
      <c r="D40" s="165" t="s">
        <v>2</v>
      </c>
      <c r="E40" s="165">
        <v>4.0</v>
      </c>
      <c r="F40" s="165" t="s">
        <v>0</v>
      </c>
      <c r="G40" s="165" t="s">
        <v>287</v>
      </c>
      <c r="H40" s="181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ht="14.25" customHeight="1">
      <c r="A41" s="169">
        <v>2.0</v>
      </c>
      <c r="B41" s="165" t="s">
        <v>11</v>
      </c>
      <c r="C41" s="165" t="s">
        <v>288</v>
      </c>
      <c r="D41" s="165" t="s">
        <v>11</v>
      </c>
      <c r="E41" s="165" t="s">
        <v>180</v>
      </c>
      <c r="F41" s="165" t="s">
        <v>0</v>
      </c>
      <c r="G41" s="165" t="s">
        <v>26</v>
      </c>
      <c r="H41" s="181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ht="14.25" customHeight="1">
      <c r="A42" s="169">
        <v>3.0</v>
      </c>
      <c r="B42" s="165" t="s">
        <v>2</v>
      </c>
      <c r="C42" s="165" t="s">
        <v>289</v>
      </c>
      <c r="D42" s="165" t="s">
        <v>12</v>
      </c>
      <c r="E42" s="165" t="s">
        <v>290</v>
      </c>
      <c r="F42" s="165" t="s">
        <v>21</v>
      </c>
      <c r="G42" s="165" t="s">
        <v>2</v>
      </c>
      <c r="H42" s="181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ht="14.25" customHeight="1">
      <c r="A43" s="169">
        <v>4.0</v>
      </c>
      <c r="B43" s="165" t="s">
        <v>21</v>
      </c>
      <c r="C43" s="165" t="s">
        <v>291</v>
      </c>
      <c r="D43" s="165" t="s">
        <v>2</v>
      </c>
      <c r="E43" s="165">
        <v>17.0</v>
      </c>
      <c r="F43" s="165" t="s">
        <v>21</v>
      </c>
      <c r="G43" s="165" t="s">
        <v>8</v>
      </c>
      <c r="H43" s="181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ht="14.25" customHeight="1">
      <c r="A44" s="169">
        <v>5.0</v>
      </c>
      <c r="B44" s="165" t="s">
        <v>257</v>
      </c>
      <c r="C44" s="165" t="s">
        <v>38</v>
      </c>
      <c r="D44" s="165" t="s">
        <v>2</v>
      </c>
      <c r="E44" s="165" t="s">
        <v>292</v>
      </c>
      <c r="F44" s="165" t="s">
        <v>4</v>
      </c>
      <c r="G44" s="165" t="s">
        <v>293</v>
      </c>
      <c r="H44" s="181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ht="14.25" customHeight="1">
      <c r="A45" s="169">
        <v>6.0</v>
      </c>
      <c r="B45" s="165" t="s">
        <v>12</v>
      </c>
      <c r="C45" s="165" t="s">
        <v>282</v>
      </c>
      <c r="D45" s="165" t="s">
        <v>4</v>
      </c>
      <c r="E45" s="165">
        <v>1791.0</v>
      </c>
      <c r="F45" s="165" t="s">
        <v>2</v>
      </c>
      <c r="G45" s="165" t="s">
        <v>12</v>
      </c>
      <c r="H45" s="181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ht="14.25" customHeight="1">
      <c r="A46" s="169">
        <v>7.0</v>
      </c>
      <c r="B46" s="165" t="s">
        <v>4</v>
      </c>
      <c r="C46" s="165" t="s">
        <v>92</v>
      </c>
      <c r="D46" s="165" t="s">
        <v>8</v>
      </c>
      <c r="E46" s="165">
        <v>41.0</v>
      </c>
      <c r="F46" s="165" t="s">
        <v>4</v>
      </c>
      <c r="G46" s="165" t="s">
        <v>12</v>
      </c>
      <c r="H46" s="181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ht="14.25" customHeight="1">
      <c r="A47" s="169">
        <v>8.0</v>
      </c>
      <c r="B47" s="165" t="s">
        <v>20</v>
      </c>
      <c r="C47" s="165" t="s">
        <v>75</v>
      </c>
      <c r="D47" s="165" t="s">
        <v>8</v>
      </c>
      <c r="E47" s="165">
        <v>61.0</v>
      </c>
      <c r="F47" s="165" t="s">
        <v>0</v>
      </c>
      <c r="G47" s="165" t="s">
        <v>17</v>
      </c>
      <c r="H47" s="181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ht="14.25" customHeight="1">
      <c r="A48" s="169">
        <v>9.0</v>
      </c>
      <c r="B48" s="165" t="s">
        <v>5</v>
      </c>
      <c r="C48" s="165" t="s">
        <v>75</v>
      </c>
      <c r="D48" s="165" t="s">
        <v>8</v>
      </c>
      <c r="E48" s="182" t="s">
        <v>294</v>
      </c>
      <c r="F48" s="165" t="s">
        <v>5</v>
      </c>
      <c r="G48" s="165" t="s">
        <v>20</v>
      </c>
      <c r="H48" s="181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ht="14.25" customHeight="1">
      <c r="A49" s="169">
        <v>10.0</v>
      </c>
      <c r="B49" s="165" t="s">
        <v>283</v>
      </c>
      <c r="C49" s="165" t="s">
        <v>26</v>
      </c>
      <c r="D49" s="165" t="s">
        <v>26</v>
      </c>
      <c r="E49" s="165" t="s">
        <v>26</v>
      </c>
      <c r="F49" s="165" t="s">
        <v>26</v>
      </c>
      <c r="G49" s="165" t="s">
        <v>26</v>
      </c>
      <c r="H49" s="181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ht="14.25" customHeight="1">
      <c r="A50" s="169">
        <v>11.0</v>
      </c>
      <c r="B50" s="165" t="s">
        <v>17</v>
      </c>
      <c r="C50" s="165" t="s">
        <v>26</v>
      </c>
      <c r="D50" s="165" t="s">
        <v>26</v>
      </c>
      <c r="E50" s="165" t="s">
        <v>26</v>
      </c>
      <c r="F50" s="165" t="s">
        <v>26</v>
      </c>
      <c r="G50" s="165" t="s">
        <v>26</v>
      </c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ht="14.25" customHeight="1">
      <c r="A51" s="169">
        <v>12.0</v>
      </c>
      <c r="B51" s="165" t="s">
        <v>284</v>
      </c>
      <c r="C51" s="165" t="s">
        <v>295</v>
      </c>
      <c r="D51" s="165" t="s">
        <v>285</v>
      </c>
      <c r="E51" s="165">
        <v>31.0</v>
      </c>
      <c r="F51" s="165" t="s">
        <v>284</v>
      </c>
      <c r="G51" s="165" t="s">
        <v>0</v>
      </c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ht="14.25" customHeight="1">
      <c r="A52" s="169">
        <v>13.0</v>
      </c>
      <c r="B52" s="165" t="s">
        <v>8</v>
      </c>
      <c r="C52" s="165" t="s">
        <v>296</v>
      </c>
      <c r="D52" s="165" t="s">
        <v>8</v>
      </c>
      <c r="E52" s="165" t="s">
        <v>297</v>
      </c>
      <c r="F52" s="165" t="s">
        <v>2</v>
      </c>
      <c r="G52" s="165" t="s">
        <v>298</v>
      </c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ht="14.25" customHeight="1">
      <c r="A53" s="169">
        <v>14.0</v>
      </c>
      <c r="B53" s="168" t="s">
        <v>285</v>
      </c>
      <c r="C53" s="165" t="s">
        <v>299</v>
      </c>
      <c r="D53" s="165" t="s">
        <v>241</v>
      </c>
      <c r="E53" s="165">
        <v>11.0</v>
      </c>
      <c r="F53" s="165" t="s">
        <v>241</v>
      </c>
      <c r="G53" s="165" t="s">
        <v>4</v>
      </c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ht="14.25" customHeight="1">
      <c r="A54" s="169">
        <v>15.0</v>
      </c>
      <c r="B54" s="165" t="s">
        <v>167</v>
      </c>
      <c r="C54" s="166" t="s">
        <v>300</v>
      </c>
      <c r="D54" s="165" t="s">
        <v>0</v>
      </c>
      <c r="E54" s="165">
        <v>29.98</v>
      </c>
      <c r="F54" s="165" t="s">
        <v>2</v>
      </c>
      <c r="G54" s="165" t="s">
        <v>4</v>
      </c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ht="14.25" customHeight="1">
      <c r="A55" s="169">
        <v>16.0</v>
      </c>
      <c r="B55" s="165" t="s">
        <v>11</v>
      </c>
      <c r="C55" s="165" t="s">
        <v>301</v>
      </c>
      <c r="D55" s="165" t="s">
        <v>0</v>
      </c>
      <c r="E55" s="165" t="s">
        <v>302</v>
      </c>
      <c r="F55" s="165" t="s">
        <v>2</v>
      </c>
      <c r="G55" s="165" t="s">
        <v>26</v>
      </c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ht="14.25" customHeight="1">
      <c r="A56" s="169">
        <v>17.0</v>
      </c>
      <c r="B56" s="165" t="s">
        <v>2</v>
      </c>
      <c r="C56" s="165" t="s">
        <v>303</v>
      </c>
      <c r="D56" s="165"/>
      <c r="E56" s="165" t="s">
        <v>218</v>
      </c>
      <c r="F56" s="165"/>
      <c r="G56" s="165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ht="14.25" customHeight="1">
      <c r="A57" s="169">
        <v>18.0</v>
      </c>
      <c r="B57" s="165" t="s">
        <v>21</v>
      </c>
      <c r="C57" s="165" t="s">
        <v>304</v>
      </c>
      <c r="D57" s="165" t="s">
        <v>2</v>
      </c>
      <c r="E57" s="165">
        <v>65.0</v>
      </c>
      <c r="F57" s="165" t="s">
        <v>4</v>
      </c>
      <c r="G57" s="165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ht="14.25" customHeight="1">
      <c r="A58" s="169">
        <v>19.0</v>
      </c>
      <c r="B58" s="165" t="s">
        <v>12</v>
      </c>
      <c r="C58" s="165" t="s">
        <v>38</v>
      </c>
      <c r="D58" s="165" t="s">
        <v>284</v>
      </c>
      <c r="E58" s="165">
        <v>479.0</v>
      </c>
      <c r="F58" s="165" t="s">
        <v>2</v>
      </c>
      <c r="G58" s="165" t="s">
        <v>0</v>
      </c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ht="14.25" customHeight="1">
      <c r="A59" s="169">
        <v>20.0</v>
      </c>
      <c r="B59" s="165" t="s">
        <v>4</v>
      </c>
      <c r="C59" s="165" t="s">
        <v>305</v>
      </c>
      <c r="D59" s="165" t="s">
        <v>2</v>
      </c>
      <c r="E59" s="182">
        <v>0.21041666666666667</v>
      </c>
      <c r="F59" s="165" t="s">
        <v>4</v>
      </c>
      <c r="G59" s="165" t="s">
        <v>26</v>
      </c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ht="14.25" customHeight="1">
      <c r="A60" s="169">
        <v>21.0</v>
      </c>
      <c r="B60" s="165" t="s">
        <v>5</v>
      </c>
      <c r="C60" s="165" t="s">
        <v>26</v>
      </c>
      <c r="D60" s="165" t="s">
        <v>26</v>
      </c>
      <c r="E60" s="165" t="s">
        <v>26</v>
      </c>
      <c r="F60" s="165" t="s">
        <v>26</v>
      </c>
      <c r="G60" s="165" t="s">
        <v>26</v>
      </c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ht="14.25" customHeight="1">
      <c r="A61" s="169">
        <v>22.0</v>
      </c>
      <c r="B61" s="165" t="s">
        <v>284</v>
      </c>
      <c r="C61" s="165" t="s">
        <v>26</v>
      </c>
      <c r="D61" s="165" t="s">
        <v>26</v>
      </c>
      <c r="E61" s="165" t="s">
        <v>26</v>
      </c>
      <c r="F61" s="165" t="s">
        <v>26</v>
      </c>
      <c r="G61" s="165" t="s">
        <v>26</v>
      </c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ht="14.25" customHeight="1">
      <c r="A62" s="169">
        <v>23.0</v>
      </c>
      <c r="B62" s="165" t="s">
        <v>8</v>
      </c>
      <c r="C62" s="165" t="s">
        <v>306</v>
      </c>
      <c r="D62" s="165" t="s">
        <v>8</v>
      </c>
      <c r="E62" s="165">
        <v>70.0</v>
      </c>
      <c r="F62" s="165" t="s">
        <v>285</v>
      </c>
      <c r="G62" s="165" t="s">
        <v>4</v>
      </c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ht="14.25" customHeight="1">
      <c r="A63" s="169">
        <v>24.0</v>
      </c>
      <c r="B63" s="165" t="s">
        <v>285</v>
      </c>
      <c r="C63" s="165" t="s">
        <v>307</v>
      </c>
      <c r="D63" s="165" t="s">
        <v>285</v>
      </c>
      <c r="E63" s="165">
        <v>9.0</v>
      </c>
      <c r="F63" s="165" t="s">
        <v>26</v>
      </c>
      <c r="G63" s="165" t="s">
        <v>26</v>
      </c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ht="14.25" customHeight="1">
      <c r="A64" s="89"/>
      <c r="B64" s="89"/>
      <c r="C64" s="30"/>
      <c r="D64" s="89"/>
      <c r="E64" s="89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ht="14.2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ht="14.2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ht="14.2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ht="14.2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</row>
    <row r="69" ht="14.2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</row>
    <row r="70" ht="14.2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</row>
    <row r="71" ht="14.2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</row>
    <row r="72" ht="14.2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</row>
    <row r="73" ht="14.2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</row>
    <row r="74" ht="14.2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</row>
    <row r="75" ht="14.2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</row>
    <row r="76" ht="14.2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</row>
    <row r="77" ht="14.2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</row>
    <row r="78" ht="14.2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</row>
    <row r="79" ht="14.2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</row>
    <row r="80" ht="14.2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</row>
    <row r="81" ht="14.2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</row>
    <row r="82" ht="14.2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</row>
    <row r="83" ht="14.2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</row>
    <row r="84" ht="14.2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</row>
    <row r="85" ht="14.2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</row>
    <row r="86" ht="14.2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</row>
    <row r="87" ht="14.2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</row>
    <row r="88" ht="14.2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</row>
    <row r="89" ht="14.2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</row>
    <row r="90" ht="14.2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</row>
    <row r="91" ht="14.2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</row>
    <row r="92" ht="14.2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</row>
    <row r="93" ht="14.2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</row>
    <row r="94" ht="14.2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</row>
    <row r="95" ht="14.2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</row>
    <row r="96" ht="14.2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</row>
    <row r="97" ht="14.2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</row>
    <row r="98" ht="14.2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</row>
    <row r="99" ht="14.2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</row>
    <row r="100" ht="14.2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</row>
    <row r="101" ht="14.2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</row>
    <row r="102" ht="14.2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</row>
    <row r="103" ht="14.2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</row>
    <row r="104" ht="14.2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</row>
    <row r="105" ht="14.2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</row>
    <row r="106" ht="14.2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</row>
    <row r="107" ht="14.2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</row>
    <row r="108" ht="14.2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</row>
    <row r="109" ht="14.2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</row>
    <row r="110" ht="14.2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</row>
    <row r="111" ht="14.2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</row>
    <row r="112" ht="14.2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</row>
    <row r="113" ht="14.2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</row>
    <row r="114" ht="14.2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</row>
    <row r="115" ht="14.2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</row>
    <row r="116" ht="14.2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</row>
    <row r="117" ht="14.2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</row>
    <row r="118" ht="14.2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</row>
    <row r="119" ht="14.2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</row>
    <row r="120" ht="14.2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</row>
    <row r="121" ht="14.2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</row>
    <row r="122" ht="14.2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</row>
    <row r="123" ht="14.2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</row>
    <row r="124" ht="14.2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</row>
    <row r="125" ht="14.2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</row>
    <row r="126" ht="14.2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</row>
    <row r="127" ht="14.2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</row>
    <row r="128" ht="14.2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</row>
    <row r="129" ht="14.2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</row>
    <row r="130" ht="14.2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</row>
    <row r="131" ht="14.2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</row>
    <row r="132" ht="14.2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</row>
    <row r="133" ht="14.2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</row>
    <row r="134" ht="14.2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</row>
    <row r="135" ht="14.2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</row>
    <row r="136" ht="14.2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</row>
    <row r="137" ht="14.2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</row>
    <row r="138" ht="14.2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</row>
    <row r="139" ht="14.2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</row>
    <row r="140" ht="14.2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</row>
    <row r="141" ht="14.2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</row>
    <row r="142" ht="14.2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</row>
    <row r="143" ht="14.2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</row>
    <row r="144" ht="14.2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</row>
    <row r="145" ht="14.2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</row>
    <row r="146" ht="14.2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</row>
    <row r="147" ht="14.2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</row>
    <row r="148" ht="14.2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</row>
    <row r="149" ht="14.2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</row>
    <row r="150" ht="14.2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</row>
    <row r="151" ht="14.2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</row>
    <row r="152" ht="14.2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</row>
    <row r="153" ht="14.2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</row>
    <row r="154" ht="14.2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</row>
    <row r="155" ht="14.2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</row>
    <row r="156" ht="14.2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</row>
    <row r="157" ht="14.2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</row>
    <row r="158" ht="14.2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</row>
    <row r="159" ht="14.2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</row>
    <row r="160" ht="14.2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</row>
    <row r="161" ht="14.2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</row>
    <row r="162" ht="14.2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</row>
    <row r="163" ht="14.2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</row>
    <row r="164" ht="14.2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</row>
    <row r="165" ht="14.2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</row>
    <row r="166" ht="14.2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</row>
    <row r="167" ht="14.2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</row>
    <row r="168" ht="14.2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</row>
    <row r="169" ht="14.2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</row>
    <row r="170" ht="14.2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</row>
    <row r="171" ht="14.2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</row>
    <row r="172" ht="14.2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</row>
    <row r="173" ht="14.2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</row>
    <row r="174" ht="14.2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</row>
    <row r="175" ht="14.2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</row>
    <row r="176" ht="14.2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</row>
    <row r="177" ht="14.2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</row>
    <row r="178" ht="14.2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</row>
    <row r="179" ht="14.2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</row>
    <row r="180" ht="14.2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</row>
    <row r="181" ht="14.2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</row>
    <row r="182" ht="14.2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</row>
    <row r="183" ht="14.2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</row>
    <row r="184" ht="14.2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</row>
    <row r="185" ht="14.2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</row>
    <row r="186" ht="14.2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</row>
    <row r="187" ht="14.2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</row>
    <row r="188" ht="14.2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</row>
    <row r="189" ht="14.2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</row>
    <row r="190" ht="14.2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</row>
    <row r="191" ht="14.2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</row>
    <row r="192" ht="14.2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</row>
    <row r="193" ht="14.2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</row>
    <row r="194" ht="14.2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</row>
    <row r="195" ht="14.2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</row>
    <row r="196" ht="14.2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</row>
    <row r="197" ht="14.2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</row>
    <row r="198" ht="14.2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</row>
    <row r="199" ht="14.2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</row>
    <row r="200" ht="14.2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</row>
    <row r="201" ht="14.2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</row>
    <row r="202" ht="14.2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</row>
    <row r="203" ht="14.2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</row>
    <row r="204" ht="14.2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</row>
    <row r="205" ht="14.2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</row>
    <row r="206" ht="14.2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</row>
    <row r="207" ht="14.2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</row>
    <row r="208" ht="14.2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</row>
    <row r="209" ht="14.2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</row>
    <row r="210" ht="14.2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</row>
    <row r="211" ht="14.2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</row>
    <row r="212" ht="14.2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</row>
    <row r="213" ht="14.2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</row>
    <row r="214" ht="14.2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</row>
    <row r="215" ht="14.2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</row>
    <row r="216" ht="14.2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</row>
    <row r="217" ht="14.2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</row>
    <row r="218" ht="14.2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</row>
    <row r="219" ht="14.2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</row>
    <row r="220" ht="14.2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</row>
    <row r="221" ht="14.2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</row>
    <row r="222" ht="14.2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</row>
    <row r="223" ht="14.2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</row>
    <row r="224" ht="14.2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</row>
    <row r="225" ht="14.2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</row>
    <row r="226" ht="14.2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</row>
    <row r="227" ht="14.2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</row>
    <row r="228" ht="14.2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</row>
    <row r="229" ht="14.2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</row>
    <row r="230" ht="14.2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</row>
    <row r="231" ht="14.2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</row>
    <row r="232" ht="14.2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</row>
    <row r="233" ht="14.2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</row>
    <row r="234" ht="14.2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</row>
    <row r="235" ht="14.2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14" width="8.25"/>
    <col customWidth="1" min="15" max="15" width="2.75"/>
    <col customWidth="1" min="16" max="16" width="2.63"/>
    <col customWidth="1" min="17" max="17" width="19.13"/>
    <col customWidth="1" min="18" max="26" width="14.38"/>
  </cols>
  <sheetData>
    <row r="1" ht="14.25" customHeight="1">
      <c r="A1" s="51"/>
      <c r="B1" s="51" t="s">
        <v>167</v>
      </c>
      <c r="C1" s="51" t="s">
        <v>11</v>
      </c>
      <c r="D1" s="51" t="s">
        <v>2</v>
      </c>
      <c r="E1" s="51" t="s">
        <v>21</v>
      </c>
      <c r="F1" s="51" t="s">
        <v>257</v>
      </c>
      <c r="G1" s="51" t="s">
        <v>12</v>
      </c>
      <c r="H1" s="51" t="s">
        <v>10</v>
      </c>
      <c r="I1" s="51" t="s">
        <v>4</v>
      </c>
      <c r="J1" s="51" t="s">
        <v>20</v>
      </c>
      <c r="K1" s="51" t="s">
        <v>5</v>
      </c>
      <c r="L1" s="51" t="s">
        <v>283</v>
      </c>
      <c r="M1" s="51" t="s">
        <v>17</v>
      </c>
      <c r="N1" s="51" t="s">
        <v>259</v>
      </c>
      <c r="O1" s="30"/>
      <c r="P1" s="30"/>
      <c r="Q1" s="30"/>
    </row>
    <row r="2" ht="14.25" customHeight="1">
      <c r="A2" s="169">
        <v>1.0</v>
      </c>
      <c r="B2" s="185">
        <v>57.0</v>
      </c>
      <c r="C2" s="166">
        <v>160.0</v>
      </c>
      <c r="D2" s="168">
        <v>185.5</v>
      </c>
      <c r="E2" s="165">
        <v>111.0</v>
      </c>
      <c r="F2" s="172">
        <v>116.5</v>
      </c>
      <c r="G2" s="185">
        <v>0.0</v>
      </c>
      <c r="H2" s="166">
        <v>175.0</v>
      </c>
      <c r="I2" s="165">
        <v>174.05</v>
      </c>
      <c r="J2" s="165">
        <v>154.0</v>
      </c>
      <c r="K2" s="165">
        <v>108.0</v>
      </c>
      <c r="L2" s="186">
        <v>102.0</v>
      </c>
      <c r="M2" s="165">
        <v>102.0</v>
      </c>
      <c r="N2" s="165">
        <v>202.5</v>
      </c>
      <c r="O2" s="30"/>
      <c r="P2" s="30"/>
      <c r="Q2" s="30"/>
    </row>
    <row r="3" ht="14.25" customHeight="1">
      <c r="A3" s="169">
        <v>2.0</v>
      </c>
      <c r="B3" s="187">
        <v>74.5</v>
      </c>
      <c r="C3" s="188">
        <v>76.0</v>
      </c>
      <c r="D3" s="189">
        <v>116.5</v>
      </c>
      <c r="E3" s="166">
        <v>131.0</v>
      </c>
      <c r="F3" s="165">
        <v>116.0</v>
      </c>
      <c r="G3" s="174">
        <v>111.0</v>
      </c>
      <c r="H3" s="165">
        <v>120.5</v>
      </c>
      <c r="I3" s="168">
        <v>182.65</v>
      </c>
      <c r="J3" s="165">
        <v>103.5</v>
      </c>
      <c r="K3" s="172">
        <v>102.5</v>
      </c>
      <c r="L3" s="185">
        <v>0.0</v>
      </c>
      <c r="M3" s="190">
        <v>101.0</v>
      </c>
      <c r="N3" s="165">
        <v>225.0</v>
      </c>
      <c r="O3" s="30"/>
      <c r="P3" s="30"/>
      <c r="Q3" s="30"/>
    </row>
    <row r="4" ht="14.25" customHeight="1">
      <c r="A4" s="169">
        <v>3.0</v>
      </c>
      <c r="B4" s="174">
        <v>109.0</v>
      </c>
      <c r="C4" s="168">
        <v>101.0</v>
      </c>
      <c r="D4" s="174">
        <v>237.0</v>
      </c>
      <c r="E4" s="165">
        <f>82.5+30</f>
        <v>112.5</v>
      </c>
      <c r="F4" s="191">
        <v>75.0</v>
      </c>
      <c r="G4" s="168">
        <v>126.5</v>
      </c>
      <c r="H4" s="172">
        <v>168.5</v>
      </c>
      <c r="I4" s="189">
        <v>147.0</v>
      </c>
      <c r="J4" s="190">
        <v>142.0</v>
      </c>
      <c r="K4" s="165">
        <v>127.0</v>
      </c>
      <c r="L4" s="192">
        <v>200.2</v>
      </c>
      <c r="M4" s="187">
        <v>34.0</v>
      </c>
      <c r="N4" s="166">
        <v>216.5</v>
      </c>
      <c r="O4" s="30"/>
      <c r="P4" s="30"/>
      <c r="Q4" s="30"/>
    </row>
    <row r="5" ht="14.25" customHeight="1">
      <c r="A5" s="169">
        <v>4.0</v>
      </c>
      <c r="B5" s="172">
        <v>126.5</v>
      </c>
      <c r="C5" s="187">
        <v>10.5</v>
      </c>
      <c r="D5" s="166">
        <v>330.5</v>
      </c>
      <c r="E5" s="168">
        <v>150.5</v>
      </c>
      <c r="F5" s="172">
        <v>152.0</v>
      </c>
      <c r="G5" s="187">
        <v>61.0</v>
      </c>
      <c r="H5" s="193">
        <v>156.5</v>
      </c>
      <c r="I5" s="189">
        <v>172.5</v>
      </c>
      <c r="J5" s="189">
        <v>101.0</v>
      </c>
      <c r="K5" s="166">
        <v>108.0</v>
      </c>
      <c r="L5" s="186">
        <v>110.5</v>
      </c>
      <c r="M5" s="174">
        <v>102.0</v>
      </c>
      <c r="N5" s="165">
        <v>298.0</v>
      </c>
      <c r="O5" s="30"/>
      <c r="P5" s="30"/>
      <c r="Q5" s="30"/>
    </row>
    <row r="6" ht="14.25" customHeight="1">
      <c r="A6" s="169">
        <v>5.0</v>
      </c>
      <c r="B6" s="165">
        <v>105.0</v>
      </c>
      <c r="C6" s="174">
        <v>186.5</v>
      </c>
      <c r="D6" s="172">
        <v>261.5</v>
      </c>
      <c r="E6" s="187">
        <v>22.0</v>
      </c>
      <c r="F6" s="166">
        <v>179.5</v>
      </c>
      <c r="G6" s="174">
        <v>110.5</v>
      </c>
      <c r="H6" s="165">
        <v>238.25</v>
      </c>
      <c r="I6" s="174">
        <v>260.3</v>
      </c>
      <c r="J6" s="174">
        <v>144.0</v>
      </c>
      <c r="K6" s="172">
        <v>111.5</v>
      </c>
      <c r="L6" s="185">
        <v>80.0</v>
      </c>
      <c r="M6" s="166">
        <v>101.5</v>
      </c>
      <c r="N6" s="165">
        <v>245.0</v>
      </c>
      <c r="O6" s="30"/>
      <c r="P6" s="30"/>
      <c r="Q6" s="30"/>
    </row>
    <row r="7" ht="14.25" customHeight="1">
      <c r="A7" s="169">
        <v>6.0</v>
      </c>
      <c r="B7" s="165">
        <v>130.0</v>
      </c>
      <c r="C7" s="165">
        <v>145.5</v>
      </c>
      <c r="D7" s="165">
        <v>291.5</v>
      </c>
      <c r="E7" s="174">
        <v>102.0</v>
      </c>
      <c r="F7" s="165">
        <v>100.0</v>
      </c>
      <c r="G7" s="168">
        <v>163.0</v>
      </c>
      <c r="H7" s="165">
        <v>195.3</v>
      </c>
      <c r="I7" s="165">
        <v>273.4</v>
      </c>
      <c r="J7" s="165">
        <v>131.0</v>
      </c>
      <c r="K7" s="172">
        <v>174.5</v>
      </c>
      <c r="L7" s="185">
        <v>0.0</v>
      </c>
      <c r="M7" s="166">
        <v>101.0</v>
      </c>
      <c r="N7" s="165">
        <v>331.0</v>
      </c>
      <c r="O7" s="30"/>
      <c r="P7" s="30"/>
      <c r="Q7" s="30"/>
    </row>
    <row r="8" ht="14.25" customHeight="1">
      <c r="A8" s="169">
        <v>7.0</v>
      </c>
      <c r="B8" s="165">
        <v>173.5</v>
      </c>
      <c r="C8" s="165">
        <v>213.0</v>
      </c>
      <c r="D8" s="165">
        <v>224.0</v>
      </c>
      <c r="E8" s="165">
        <v>111.4</v>
      </c>
      <c r="F8" s="172">
        <v>110.5</v>
      </c>
      <c r="G8" s="189">
        <v>101.0</v>
      </c>
      <c r="H8" s="166">
        <v>156.0</v>
      </c>
      <c r="I8" s="165">
        <v>185.0</v>
      </c>
      <c r="J8" s="165">
        <v>129.0</v>
      </c>
      <c r="K8" s="165">
        <v>125.0</v>
      </c>
      <c r="L8" s="192">
        <v>126.0</v>
      </c>
      <c r="M8" s="165">
        <v>102.0</v>
      </c>
      <c r="N8" s="165">
        <v>198.0</v>
      </c>
      <c r="O8" s="30"/>
      <c r="P8" s="30"/>
      <c r="Q8" s="30"/>
    </row>
    <row r="9" ht="14.25" customHeight="1">
      <c r="A9" s="169">
        <v>8.0</v>
      </c>
      <c r="B9" s="165">
        <v>191.0</v>
      </c>
      <c r="C9" s="165">
        <v>122.5</v>
      </c>
      <c r="D9" s="165">
        <v>330.0</v>
      </c>
      <c r="E9" s="165">
        <v>174.5</v>
      </c>
      <c r="F9" s="165">
        <v>169.0</v>
      </c>
      <c r="G9" s="174">
        <v>196.5</v>
      </c>
      <c r="H9" s="165">
        <v>257.25</v>
      </c>
      <c r="I9" s="165">
        <v>321.8</v>
      </c>
      <c r="J9" s="165">
        <v>290.0</v>
      </c>
      <c r="K9" s="165">
        <v>138.0</v>
      </c>
      <c r="L9" s="172">
        <v>161.5</v>
      </c>
      <c r="M9" s="165">
        <v>101.0</v>
      </c>
      <c r="N9" s="165">
        <v>181.5</v>
      </c>
      <c r="O9" s="30"/>
      <c r="P9" s="30"/>
      <c r="Q9" s="30"/>
    </row>
    <row r="10" ht="14.25" customHeight="1">
      <c r="A10" s="169">
        <v>9.0</v>
      </c>
      <c r="B10" s="165">
        <v>182.0</v>
      </c>
      <c r="C10" s="168">
        <v>155.5</v>
      </c>
      <c r="D10" s="165">
        <v>226.8</v>
      </c>
      <c r="E10" s="165">
        <v>101.0</v>
      </c>
      <c r="F10" s="168">
        <v>110.0</v>
      </c>
      <c r="G10" s="165">
        <v>158.7</v>
      </c>
      <c r="H10" s="165">
        <v>214.0</v>
      </c>
      <c r="I10" s="165">
        <v>271.2</v>
      </c>
      <c r="J10" s="165">
        <v>132.0</v>
      </c>
      <c r="K10" s="168">
        <v>115.5</v>
      </c>
      <c r="L10" s="172">
        <v>146.5</v>
      </c>
      <c r="M10" s="165">
        <v>102.0</v>
      </c>
      <c r="N10" s="165">
        <v>190.5</v>
      </c>
      <c r="O10" s="30"/>
      <c r="P10" s="30"/>
      <c r="Q10" s="30"/>
    </row>
    <row r="11" ht="14.25" customHeight="1">
      <c r="A11" s="169">
        <v>10.0</v>
      </c>
      <c r="B11" s="172">
        <v>192.5</v>
      </c>
      <c r="C11" s="187">
        <v>0.0</v>
      </c>
      <c r="D11" s="166">
        <v>222.0</v>
      </c>
      <c r="E11" s="172">
        <v>146.5</v>
      </c>
      <c r="F11" s="187">
        <v>31.0</v>
      </c>
      <c r="G11" s="166">
        <v>171.0</v>
      </c>
      <c r="H11" s="165">
        <v>185.5</v>
      </c>
      <c r="I11" s="165">
        <v>253.20000000000002</v>
      </c>
      <c r="J11" s="186">
        <v>120.5</v>
      </c>
      <c r="K11" s="189">
        <v>101.5</v>
      </c>
      <c r="L11" s="193">
        <v>224.0</v>
      </c>
      <c r="M11" s="165">
        <v>103.0</v>
      </c>
      <c r="N11" s="165">
        <v>165.0</v>
      </c>
      <c r="O11" s="30"/>
      <c r="P11" s="30"/>
      <c r="Q11" s="30"/>
    </row>
    <row r="12" ht="14.25" customHeight="1">
      <c r="A12" s="169">
        <v>11.0</v>
      </c>
      <c r="B12" s="168">
        <v>141.0</v>
      </c>
      <c r="C12" s="174">
        <v>115.5</v>
      </c>
      <c r="D12" s="165">
        <v>190.0</v>
      </c>
      <c r="E12" s="194">
        <v>68.0</v>
      </c>
      <c r="F12" s="185">
        <v>20.0</v>
      </c>
      <c r="G12" s="166">
        <v>102.0</v>
      </c>
      <c r="H12" s="165">
        <f>178.5+33.5</f>
        <v>212</v>
      </c>
      <c r="I12" s="172">
        <f>192.3+26.4</f>
        <v>218.7</v>
      </c>
      <c r="J12" s="189">
        <v>101.0</v>
      </c>
      <c r="K12" s="189">
        <v>102.0</v>
      </c>
      <c r="L12" s="193">
        <v>195.0</v>
      </c>
      <c r="M12" s="191">
        <v>50.0</v>
      </c>
      <c r="N12" s="165">
        <v>167.0</v>
      </c>
      <c r="O12" s="30"/>
      <c r="P12" s="30"/>
      <c r="Q12" s="30"/>
    </row>
    <row r="13" ht="14.25" customHeight="1">
      <c r="A13" s="169">
        <v>12.0</v>
      </c>
      <c r="B13" s="189">
        <v>101.0</v>
      </c>
      <c r="C13" s="166">
        <v>154.5</v>
      </c>
      <c r="D13" s="165">
        <v>134.5</v>
      </c>
      <c r="E13" s="195">
        <v>40.0</v>
      </c>
      <c r="F13" s="196">
        <v>59.0</v>
      </c>
      <c r="G13" s="166">
        <v>103.0</v>
      </c>
      <c r="H13" s="165">
        <v>200.5</v>
      </c>
      <c r="I13" s="172">
        <v>281.95</v>
      </c>
      <c r="J13" s="189">
        <v>101.0</v>
      </c>
      <c r="K13" s="167">
        <v>108.0</v>
      </c>
      <c r="L13" s="172">
        <v>187.0</v>
      </c>
      <c r="M13" s="191">
        <v>47.0</v>
      </c>
      <c r="N13" s="168">
        <v>194.0</v>
      </c>
      <c r="O13" s="30"/>
      <c r="P13" s="30"/>
      <c r="Q13" s="30"/>
    </row>
    <row r="14" ht="14.25" customHeight="1">
      <c r="A14" s="169">
        <v>13.0</v>
      </c>
      <c r="B14" s="174">
        <v>152.5</v>
      </c>
      <c r="C14" s="165">
        <v>104.0</v>
      </c>
      <c r="D14" s="186">
        <v>208.0</v>
      </c>
      <c r="E14" s="197">
        <v>0.0</v>
      </c>
      <c r="F14" s="198">
        <v>84.0</v>
      </c>
      <c r="G14" s="165">
        <v>108.5</v>
      </c>
      <c r="H14" s="165">
        <v>165.0</v>
      </c>
      <c r="I14" s="165">
        <v>238.9</v>
      </c>
      <c r="J14" s="174">
        <v>123.0</v>
      </c>
      <c r="K14" s="165">
        <v>111.0</v>
      </c>
      <c r="L14" s="172">
        <v>236.0</v>
      </c>
      <c r="M14" s="172">
        <v>126.5</v>
      </c>
      <c r="N14" s="189">
        <v>110.0</v>
      </c>
      <c r="O14" s="30"/>
      <c r="P14" s="30"/>
      <c r="Q14" s="30"/>
    </row>
    <row r="15" ht="14.25" customHeight="1">
      <c r="A15" s="169">
        <v>14.0</v>
      </c>
      <c r="B15" s="165">
        <v>124.5</v>
      </c>
      <c r="C15" s="186">
        <v>100.5</v>
      </c>
      <c r="D15" s="189">
        <v>108.5</v>
      </c>
      <c r="E15" s="167">
        <v>101.0</v>
      </c>
      <c r="F15" s="165">
        <v>101.0</v>
      </c>
      <c r="G15" s="165">
        <v>128.0</v>
      </c>
      <c r="H15" s="165">
        <v>160.0</v>
      </c>
      <c r="I15" s="165">
        <v>217.8</v>
      </c>
      <c r="J15" s="165">
        <v>101.5</v>
      </c>
      <c r="K15" s="168">
        <v>103.0</v>
      </c>
      <c r="L15" s="172">
        <v>275.2</v>
      </c>
      <c r="M15" s="191">
        <v>58.0</v>
      </c>
      <c r="N15" s="174">
        <v>139.0</v>
      </c>
      <c r="O15" s="30"/>
      <c r="P15" s="30"/>
      <c r="Q15" s="30"/>
    </row>
    <row r="16" ht="14.25" customHeight="1">
      <c r="A16" s="169">
        <v>15.0</v>
      </c>
      <c r="B16" s="172">
        <v>172.0</v>
      </c>
      <c r="C16" s="187">
        <v>48.0</v>
      </c>
      <c r="D16" s="189">
        <v>103.0</v>
      </c>
      <c r="E16" s="166">
        <v>111.5</v>
      </c>
      <c r="F16" s="165">
        <v>109.0</v>
      </c>
      <c r="G16" s="165">
        <v>131.0</v>
      </c>
      <c r="H16" s="165">
        <v>242.5</v>
      </c>
      <c r="I16" s="165">
        <v>497.3</v>
      </c>
      <c r="J16" s="172">
        <v>101.0</v>
      </c>
      <c r="K16" s="199">
        <v>0.0</v>
      </c>
      <c r="L16" s="193">
        <v>189.0</v>
      </c>
      <c r="M16" s="191">
        <v>66.0</v>
      </c>
      <c r="N16" s="165">
        <v>144.0</v>
      </c>
      <c r="O16" s="30"/>
      <c r="P16" s="30"/>
      <c r="Q16" s="30"/>
    </row>
    <row r="17" ht="14.25" customHeight="1">
      <c r="A17" s="169">
        <v>16.0</v>
      </c>
      <c r="B17" s="165">
        <v>111.5</v>
      </c>
      <c r="C17" s="174">
        <v>100.5</v>
      </c>
      <c r="D17" s="174">
        <v>138.0</v>
      </c>
      <c r="E17" s="191">
        <v>51.5</v>
      </c>
      <c r="F17" s="165">
        <v>104.0</v>
      </c>
      <c r="G17" s="165">
        <v>117.0</v>
      </c>
      <c r="H17" s="165">
        <v>169.0</v>
      </c>
      <c r="I17" s="165">
        <v>185.75</v>
      </c>
      <c r="J17" s="165">
        <v>104.0</v>
      </c>
      <c r="K17" s="174">
        <v>118.0</v>
      </c>
      <c r="L17" s="172">
        <v>134.5</v>
      </c>
      <c r="M17" s="165">
        <v>101.0</v>
      </c>
      <c r="N17" s="165">
        <v>130.0</v>
      </c>
      <c r="O17" s="30"/>
      <c r="P17" s="30"/>
      <c r="Q17" s="30"/>
    </row>
    <row r="18" ht="14.25" customHeight="1">
      <c r="A18" s="169">
        <v>17.0</v>
      </c>
      <c r="B18" s="165">
        <v>177.5</v>
      </c>
      <c r="C18" s="165">
        <v>100.5</v>
      </c>
      <c r="D18" s="165">
        <v>261.0</v>
      </c>
      <c r="E18" s="165">
        <v>163.0</v>
      </c>
      <c r="F18" s="191">
        <v>78.5</v>
      </c>
      <c r="G18" s="165">
        <v>178.5</v>
      </c>
      <c r="H18" s="168">
        <v>219.0</v>
      </c>
      <c r="I18" s="165">
        <v>276.6</v>
      </c>
      <c r="J18" s="165">
        <v>106.0</v>
      </c>
      <c r="K18" s="165">
        <v>138.5</v>
      </c>
      <c r="L18" s="172">
        <v>237.0</v>
      </c>
      <c r="M18" s="165">
        <v>102.0</v>
      </c>
      <c r="N18" s="165">
        <v>193.6</v>
      </c>
      <c r="O18" s="30"/>
      <c r="P18" s="30"/>
      <c r="Q18" s="30"/>
    </row>
    <row r="19" ht="14.25" customHeight="1">
      <c r="A19" s="169">
        <v>18.0</v>
      </c>
      <c r="B19" s="165">
        <v>133.5</v>
      </c>
      <c r="C19" s="165">
        <v>166.5</v>
      </c>
      <c r="D19" s="165">
        <v>117.0</v>
      </c>
      <c r="E19" s="165">
        <v>134.0</v>
      </c>
      <c r="F19" s="165">
        <v>135.5</v>
      </c>
      <c r="G19" s="172">
        <v>102.0</v>
      </c>
      <c r="H19" s="189">
        <v>100.0</v>
      </c>
      <c r="I19" s="166">
        <v>253.5</v>
      </c>
      <c r="J19" s="165">
        <v>171.0</v>
      </c>
      <c r="K19" s="165">
        <v>111.5</v>
      </c>
      <c r="L19" s="172">
        <v>210.0</v>
      </c>
      <c r="M19" s="165">
        <v>104.0</v>
      </c>
      <c r="N19" s="165">
        <v>203.0</v>
      </c>
      <c r="O19" s="30"/>
      <c r="P19" s="30"/>
      <c r="Q19" s="30"/>
    </row>
    <row r="20" ht="14.25" customHeight="1">
      <c r="A20" s="169">
        <v>19.0</v>
      </c>
      <c r="B20" s="165">
        <v>171.0</v>
      </c>
      <c r="C20" s="165">
        <v>195.0</v>
      </c>
      <c r="D20" s="165">
        <v>354.0</v>
      </c>
      <c r="E20" s="165">
        <v>145.5</v>
      </c>
      <c r="F20" s="165">
        <v>120.5</v>
      </c>
      <c r="G20" s="165">
        <v>117.5</v>
      </c>
      <c r="H20" s="200">
        <v>166.5</v>
      </c>
      <c r="I20" s="165">
        <v>286.75</v>
      </c>
      <c r="J20" s="165">
        <v>101.0</v>
      </c>
      <c r="K20" s="165">
        <v>112.0</v>
      </c>
      <c r="L20" s="172">
        <v>173.5</v>
      </c>
      <c r="M20" s="168">
        <v>117.0</v>
      </c>
      <c r="N20" s="165">
        <v>140.0</v>
      </c>
      <c r="O20" s="30"/>
      <c r="P20" s="30"/>
      <c r="Q20" s="30"/>
    </row>
    <row r="21" ht="14.25" customHeight="1">
      <c r="A21" s="169">
        <v>20.0</v>
      </c>
      <c r="B21" s="165">
        <v>145.0</v>
      </c>
      <c r="C21" s="165">
        <v>100.0</v>
      </c>
      <c r="D21" s="165">
        <v>273.3</v>
      </c>
      <c r="E21" s="201">
        <v>30.0</v>
      </c>
      <c r="F21" s="165">
        <v>109.0</v>
      </c>
      <c r="G21" s="172">
        <v>103.0</v>
      </c>
      <c r="H21" s="189">
        <v>100.5</v>
      </c>
      <c r="I21" s="166">
        <v>283.75</v>
      </c>
      <c r="J21" s="165">
        <v>168.0</v>
      </c>
      <c r="K21" s="165">
        <v>120.0</v>
      </c>
      <c r="L21" s="172">
        <v>147.0</v>
      </c>
      <c r="M21" s="185">
        <v>0.0</v>
      </c>
      <c r="N21" s="190">
        <v>162.5</v>
      </c>
      <c r="O21" s="30"/>
      <c r="P21" s="59"/>
      <c r="Q21" s="30" t="s">
        <v>120</v>
      </c>
    </row>
    <row r="22" ht="14.25" customHeight="1">
      <c r="A22" s="169">
        <v>21.0</v>
      </c>
      <c r="B22" s="165">
        <v>109.0</v>
      </c>
      <c r="C22" s="165">
        <v>165.5</v>
      </c>
      <c r="D22" s="172">
        <v>191.0</v>
      </c>
      <c r="E22" s="187">
        <v>0.0</v>
      </c>
      <c r="F22" s="166">
        <v>141.5</v>
      </c>
      <c r="G22" s="165">
        <v>129.5</v>
      </c>
      <c r="H22" s="174">
        <v>105.0</v>
      </c>
      <c r="I22" s="165">
        <v>260.1</v>
      </c>
      <c r="J22" s="165">
        <v>150.5</v>
      </c>
      <c r="K22" s="165">
        <v>111.0</v>
      </c>
      <c r="L22" s="172">
        <v>175.0</v>
      </c>
      <c r="M22" s="202">
        <v>101.0</v>
      </c>
      <c r="N22" s="189">
        <v>117.5</v>
      </c>
      <c r="O22" s="30"/>
      <c r="P22" s="62"/>
      <c r="Q22" s="30" t="s">
        <v>121</v>
      </c>
    </row>
    <row r="23" ht="14.25" customHeight="1">
      <c r="A23" s="169">
        <v>22.0</v>
      </c>
      <c r="B23" s="165">
        <v>202.5</v>
      </c>
      <c r="C23" s="165">
        <v>100.5</v>
      </c>
      <c r="D23" s="165">
        <v>183.0</v>
      </c>
      <c r="E23" s="174">
        <v>107.0</v>
      </c>
      <c r="F23" s="165">
        <v>139.0</v>
      </c>
      <c r="G23" s="165">
        <v>157.0</v>
      </c>
      <c r="H23" s="168">
        <v>102.25</v>
      </c>
      <c r="I23" s="168">
        <v>205.55</v>
      </c>
      <c r="J23" s="165">
        <v>116.5</v>
      </c>
      <c r="K23" s="165">
        <v>115.0</v>
      </c>
      <c r="L23" s="172">
        <v>138.0</v>
      </c>
      <c r="M23" s="185">
        <v>44.0</v>
      </c>
      <c r="N23" s="203">
        <v>139.0</v>
      </c>
      <c r="O23" s="30"/>
      <c r="P23" s="184"/>
      <c r="Q23" s="30" t="s">
        <v>122</v>
      </c>
    </row>
    <row r="24" ht="14.25" customHeight="1">
      <c r="A24" s="169">
        <v>23.0</v>
      </c>
      <c r="B24" s="165">
        <v>222.5</v>
      </c>
      <c r="C24" s="165">
        <v>181.0</v>
      </c>
      <c r="D24" s="165">
        <v>255.5</v>
      </c>
      <c r="E24" s="165">
        <v>101.0</v>
      </c>
      <c r="F24" s="165">
        <v>101.0</v>
      </c>
      <c r="G24" s="172">
        <v>279.5</v>
      </c>
      <c r="H24" s="189">
        <v>100.8</v>
      </c>
      <c r="I24" s="189">
        <v>147.05</v>
      </c>
      <c r="J24" s="166">
        <v>138.5</v>
      </c>
      <c r="K24" s="165">
        <v>112.5</v>
      </c>
      <c r="L24" s="172">
        <v>306.7</v>
      </c>
      <c r="M24" s="192">
        <v>113.0</v>
      </c>
      <c r="N24" s="189">
        <v>128.0</v>
      </c>
      <c r="O24" s="30"/>
      <c r="P24" s="64"/>
      <c r="Q24" s="30" t="s">
        <v>123</v>
      </c>
    </row>
    <row r="25" ht="14.25" customHeight="1">
      <c r="A25" s="169">
        <v>24.0</v>
      </c>
      <c r="B25" s="165">
        <v>123.5</v>
      </c>
      <c r="C25" s="165">
        <v>156.0</v>
      </c>
      <c r="D25" s="165">
        <v>188.0</v>
      </c>
      <c r="E25" s="165">
        <v>121.0</v>
      </c>
      <c r="F25" s="165">
        <v>101.0</v>
      </c>
      <c r="G25" s="165">
        <v>105.0</v>
      </c>
      <c r="H25" s="174">
        <v>150.5</v>
      </c>
      <c r="I25" s="174">
        <v>243.5</v>
      </c>
      <c r="J25" s="165">
        <v>166.0</v>
      </c>
      <c r="K25" s="165">
        <v>102.0</v>
      </c>
      <c r="L25" s="172">
        <v>142.5</v>
      </c>
      <c r="M25" s="165">
        <v>135.0</v>
      </c>
      <c r="N25" s="174">
        <v>298.0</v>
      </c>
      <c r="O25" s="30"/>
      <c r="P25" s="30"/>
      <c r="Q25" s="30"/>
    </row>
    <row r="26" ht="14.25" customHeight="1">
      <c r="A26" s="66" t="s">
        <v>126</v>
      </c>
      <c r="B26" s="155">
        <f t="shared" ref="B26:N26" si="1">SUM(B2:B25)</f>
        <v>3428</v>
      </c>
      <c r="C26" s="155">
        <f t="shared" si="1"/>
        <v>2958.5</v>
      </c>
      <c r="D26" s="155">
        <f t="shared" si="1"/>
        <v>5130.1</v>
      </c>
      <c r="E26" s="155">
        <f t="shared" si="1"/>
        <v>2335.9</v>
      </c>
      <c r="F26" s="155">
        <f t="shared" si="1"/>
        <v>2562.5</v>
      </c>
      <c r="G26" s="155">
        <f t="shared" si="1"/>
        <v>3060.7</v>
      </c>
      <c r="H26" s="155">
        <f t="shared" si="1"/>
        <v>4060.35</v>
      </c>
      <c r="I26" s="155">
        <f t="shared" si="1"/>
        <v>5838.3</v>
      </c>
      <c r="J26" s="155">
        <f t="shared" si="1"/>
        <v>3196</v>
      </c>
      <c r="K26" s="155">
        <f t="shared" si="1"/>
        <v>2676</v>
      </c>
      <c r="L26" s="155">
        <f t="shared" si="1"/>
        <v>3897.1</v>
      </c>
      <c r="M26" s="155">
        <f t="shared" si="1"/>
        <v>2114</v>
      </c>
      <c r="N26" s="155">
        <f t="shared" si="1"/>
        <v>4518.6</v>
      </c>
      <c r="O26" s="30"/>
    </row>
    <row r="27" ht="14.25" customHeight="1">
      <c r="A27" s="156" t="s">
        <v>127</v>
      </c>
      <c r="B27" s="158">
        <f t="shared" ref="B27:N27" si="2">AVERAGE(B2:B25)</f>
        <v>142.8333333</v>
      </c>
      <c r="C27" s="158">
        <f t="shared" si="2"/>
        <v>123.2708333</v>
      </c>
      <c r="D27" s="158">
        <f t="shared" si="2"/>
        <v>213.7541667</v>
      </c>
      <c r="E27" s="158">
        <f t="shared" si="2"/>
        <v>97.32916667</v>
      </c>
      <c r="F27" s="158">
        <f t="shared" si="2"/>
        <v>106.7708333</v>
      </c>
      <c r="G27" s="158">
        <f t="shared" si="2"/>
        <v>127.5291667</v>
      </c>
      <c r="H27" s="158">
        <f t="shared" si="2"/>
        <v>169.18125</v>
      </c>
      <c r="I27" s="158">
        <f t="shared" si="2"/>
        <v>243.2625</v>
      </c>
      <c r="J27" s="158">
        <f t="shared" si="2"/>
        <v>133.1666667</v>
      </c>
      <c r="K27" s="158">
        <f t="shared" si="2"/>
        <v>111.5</v>
      </c>
      <c r="L27" s="158">
        <f t="shared" si="2"/>
        <v>162.3791667</v>
      </c>
      <c r="M27" s="158">
        <f t="shared" si="2"/>
        <v>88.08333333</v>
      </c>
      <c r="N27" s="158">
        <f t="shared" si="2"/>
        <v>188.275</v>
      </c>
      <c r="O27" s="30"/>
      <c r="P27" s="30"/>
      <c r="Q27" s="30"/>
    </row>
    <row r="28" ht="14.25" customHeight="1">
      <c r="A28" s="156" t="s">
        <v>128</v>
      </c>
      <c r="B28" s="158">
        <f>-(B2+B3+B13)</f>
        <v>-232.5</v>
      </c>
      <c r="C28" s="158">
        <f>-(C5+C11+C16)</f>
        <v>-58.5</v>
      </c>
      <c r="D28" s="158">
        <f>-(D3+D15+D16)</f>
        <v>-328</v>
      </c>
      <c r="E28" s="158">
        <f>-(E22+E14+E6)</f>
        <v>-22</v>
      </c>
      <c r="F28" s="158">
        <f>-(F12+F13+F11)</f>
        <v>-110</v>
      </c>
      <c r="G28" s="158">
        <f>-(G2+G5+G8)</f>
        <v>-162</v>
      </c>
      <c r="H28" s="158">
        <f>-(H19+H21+H24)</f>
        <v>-301.3</v>
      </c>
      <c r="I28" s="158">
        <f>-(I4+I5+I24)</f>
        <v>-466.55</v>
      </c>
      <c r="J28" s="158">
        <f>-(J5+J12+J13)</f>
        <v>-303</v>
      </c>
      <c r="K28" s="158">
        <f>-(K11+K12+K16)</f>
        <v>-203.5</v>
      </c>
      <c r="L28" s="158">
        <f>-(L3+L6+L7)</f>
        <v>-80</v>
      </c>
      <c r="M28" s="158">
        <f>-(M23+M21+M4)</f>
        <v>-78</v>
      </c>
      <c r="N28" s="158">
        <f>-(N24+N22+N14)</f>
        <v>-355.5</v>
      </c>
      <c r="O28" s="30"/>
      <c r="P28" s="30"/>
      <c r="Q28" s="30"/>
    </row>
    <row r="29" ht="14.25" customHeight="1">
      <c r="A29" s="156" t="s">
        <v>129</v>
      </c>
      <c r="B29" s="158">
        <v>0.0</v>
      </c>
      <c r="C29" s="158">
        <v>0.0</v>
      </c>
      <c r="D29" s="158">
        <v>300.0</v>
      </c>
      <c r="E29" s="158">
        <v>0.0</v>
      </c>
      <c r="F29" s="158">
        <v>0.0</v>
      </c>
      <c r="G29" s="158">
        <v>0.0</v>
      </c>
      <c r="H29" s="158">
        <v>300.0</v>
      </c>
      <c r="I29" s="158">
        <v>300.0</v>
      </c>
      <c r="J29" s="158">
        <v>300.0</v>
      </c>
      <c r="K29" s="158">
        <v>0.0</v>
      </c>
      <c r="L29" s="158">
        <v>0.0</v>
      </c>
      <c r="M29" s="158">
        <v>0.0</v>
      </c>
      <c r="N29" s="158">
        <v>300.0</v>
      </c>
      <c r="O29" s="30"/>
      <c r="P29" s="30"/>
      <c r="Q29" s="30"/>
    </row>
    <row r="30" ht="14.25" customHeight="1">
      <c r="A30" s="66" t="s">
        <v>130</v>
      </c>
      <c r="B30" s="155">
        <f t="shared" ref="B30:N30" si="3">B26+B28+B29</f>
        <v>3195.5</v>
      </c>
      <c r="C30" s="155">
        <f t="shared" si="3"/>
        <v>2900</v>
      </c>
      <c r="D30" s="155">
        <f t="shared" si="3"/>
        <v>5102.1</v>
      </c>
      <c r="E30" s="155">
        <f t="shared" si="3"/>
        <v>2313.9</v>
      </c>
      <c r="F30" s="155">
        <f t="shared" si="3"/>
        <v>2452.5</v>
      </c>
      <c r="G30" s="155">
        <f t="shared" si="3"/>
        <v>2898.7</v>
      </c>
      <c r="H30" s="155">
        <f t="shared" si="3"/>
        <v>4059.05</v>
      </c>
      <c r="I30" s="155">
        <f t="shared" si="3"/>
        <v>5671.75</v>
      </c>
      <c r="J30" s="155">
        <f t="shared" si="3"/>
        <v>3193</v>
      </c>
      <c r="K30" s="155">
        <f t="shared" si="3"/>
        <v>2472.5</v>
      </c>
      <c r="L30" s="155">
        <f t="shared" si="3"/>
        <v>3817.1</v>
      </c>
      <c r="M30" s="155">
        <f t="shared" si="3"/>
        <v>2036</v>
      </c>
      <c r="N30" s="155">
        <f t="shared" si="3"/>
        <v>4463.1</v>
      </c>
      <c r="O30" s="30"/>
      <c r="P30" s="30"/>
      <c r="Q30" s="30"/>
    </row>
    <row r="31" ht="14.25" customHeight="1">
      <c r="A31" s="159" t="s">
        <v>131</v>
      </c>
      <c r="B31" s="160">
        <f>RANK(B30,B30:N30)</f>
        <v>6</v>
      </c>
      <c r="C31" s="160">
        <f>RANK(C30,B30:N30)</f>
        <v>8</v>
      </c>
      <c r="D31" s="160">
        <f>RANK(D30,B30:N30)</f>
        <v>2</v>
      </c>
      <c r="E31" s="160">
        <f>RANK(E30,B30:N30)</f>
        <v>12</v>
      </c>
      <c r="F31" s="160">
        <f>RANK(F30,B30:N30)</f>
        <v>11</v>
      </c>
      <c r="G31" s="160">
        <f>RANK(G30,B30:N30)</f>
        <v>9</v>
      </c>
      <c r="H31" s="160">
        <f>RANK(H30,B30:N30)</f>
        <v>4</v>
      </c>
      <c r="I31" s="160">
        <f>RANK(I30,B30:N30)</f>
        <v>1</v>
      </c>
      <c r="J31" s="160">
        <f>RANK(J30,B30:N30)</f>
        <v>7</v>
      </c>
      <c r="K31" s="160">
        <f>RANK(K30,B30:N30)</f>
        <v>10</v>
      </c>
      <c r="L31" s="160">
        <f>RANK(L30,B30:N30)</f>
        <v>5</v>
      </c>
      <c r="M31" s="160">
        <f>RANK(M30,B30:N30)</f>
        <v>13</v>
      </c>
      <c r="N31" s="160">
        <f>RANK(N30,B30:N30)</f>
        <v>3</v>
      </c>
      <c r="O31" s="30"/>
      <c r="P31" s="30"/>
      <c r="Q31" s="30"/>
    </row>
    <row r="32" ht="14.25" customHeight="1">
      <c r="A32" s="156" t="s">
        <v>132</v>
      </c>
      <c r="B32" s="161">
        <v>50.0</v>
      </c>
      <c r="C32" s="161">
        <v>150.0</v>
      </c>
      <c r="D32" s="161">
        <v>0.0</v>
      </c>
      <c r="E32" s="161">
        <v>430.0</v>
      </c>
      <c r="F32" s="161">
        <v>350.0</v>
      </c>
      <c r="G32" s="161">
        <v>160.0</v>
      </c>
      <c r="H32" s="161">
        <v>30.0</v>
      </c>
      <c r="I32" s="161">
        <v>0.0</v>
      </c>
      <c r="J32" s="161">
        <v>0.0</v>
      </c>
      <c r="K32" s="161">
        <v>440.0</v>
      </c>
      <c r="L32" s="161">
        <v>260.0</v>
      </c>
      <c r="M32" s="161">
        <v>330.0</v>
      </c>
      <c r="N32" s="161">
        <v>30.0</v>
      </c>
      <c r="O32" s="30"/>
      <c r="P32" s="30"/>
    </row>
    <row r="33" ht="14.25" customHeight="1">
      <c r="A33" s="156" t="s">
        <v>133</v>
      </c>
      <c r="B33" s="161">
        <v>100.0</v>
      </c>
      <c r="C33" s="161">
        <v>200.0</v>
      </c>
      <c r="D33" s="161">
        <v>0.0</v>
      </c>
      <c r="E33" s="161">
        <v>300.0</v>
      </c>
      <c r="F33" s="161">
        <v>300.0</v>
      </c>
      <c r="G33" s="161">
        <v>200.0</v>
      </c>
      <c r="H33" s="161">
        <v>100.0</v>
      </c>
      <c r="I33" s="161">
        <v>0.0</v>
      </c>
      <c r="J33" s="161">
        <v>200.0</v>
      </c>
      <c r="K33" s="161">
        <v>300.0</v>
      </c>
      <c r="L33" s="161">
        <v>100.0</v>
      </c>
      <c r="M33" s="161">
        <v>500.0</v>
      </c>
      <c r="N33" s="161">
        <v>0.0</v>
      </c>
      <c r="O33" s="30"/>
      <c r="P33" s="30"/>
      <c r="Q33" s="79"/>
      <c r="R33" s="162"/>
    </row>
    <row r="34" ht="14.25" customHeight="1">
      <c r="A34" s="159" t="s">
        <v>134</v>
      </c>
      <c r="B34" s="162">
        <f t="shared" ref="B34:N34" si="4">SUM(B32:B33)</f>
        <v>150</v>
      </c>
      <c r="C34" s="162">
        <f t="shared" si="4"/>
        <v>350</v>
      </c>
      <c r="D34" s="162">
        <f t="shared" si="4"/>
        <v>0</v>
      </c>
      <c r="E34" s="162">
        <f t="shared" si="4"/>
        <v>730</v>
      </c>
      <c r="F34" s="162">
        <f t="shared" si="4"/>
        <v>650</v>
      </c>
      <c r="G34" s="162">
        <f t="shared" si="4"/>
        <v>360</v>
      </c>
      <c r="H34" s="162">
        <f t="shared" si="4"/>
        <v>130</v>
      </c>
      <c r="I34" s="162">
        <f t="shared" si="4"/>
        <v>0</v>
      </c>
      <c r="J34" s="162">
        <f t="shared" si="4"/>
        <v>200</v>
      </c>
      <c r="K34" s="162">
        <f t="shared" si="4"/>
        <v>740</v>
      </c>
      <c r="L34" s="162">
        <f t="shared" si="4"/>
        <v>360</v>
      </c>
      <c r="M34" s="162">
        <f t="shared" si="4"/>
        <v>830</v>
      </c>
      <c r="N34" s="162">
        <f t="shared" si="4"/>
        <v>30</v>
      </c>
      <c r="O34" s="30"/>
      <c r="P34" s="30"/>
      <c r="Q34" s="79" t="s">
        <v>135</v>
      </c>
      <c r="R34" s="162">
        <f>SUM(B34:N34)</f>
        <v>4530</v>
      </c>
    </row>
    <row r="35" ht="14.25" customHeight="1">
      <c r="A35" s="6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</row>
    <row r="36" ht="14.25" customHeight="1">
      <c r="A36" s="164" t="s">
        <v>138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</row>
    <row r="37" ht="14.25" customHeight="1">
      <c r="A37" s="51" t="s">
        <v>118</v>
      </c>
      <c r="B37" s="51" t="s">
        <v>139</v>
      </c>
      <c r="C37" s="51" t="s">
        <v>140</v>
      </c>
      <c r="D37" s="51" t="s">
        <v>231</v>
      </c>
      <c r="E37" s="51" t="s">
        <v>137</v>
      </c>
      <c r="F37" s="51" t="s">
        <v>232</v>
      </c>
      <c r="G37" s="51" t="s">
        <v>233</v>
      </c>
      <c r="H37" s="69"/>
      <c r="I37" s="69"/>
      <c r="J37" s="69"/>
      <c r="K37" s="69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</row>
    <row r="38" ht="14.25" customHeight="1">
      <c r="A38" s="169">
        <v>1.0</v>
      </c>
      <c r="B38" s="165" t="s">
        <v>167</v>
      </c>
      <c r="C38" s="166" t="s">
        <v>92</v>
      </c>
      <c r="D38" s="165" t="s">
        <v>2</v>
      </c>
      <c r="E38" s="165">
        <v>18.0</v>
      </c>
      <c r="F38" s="165" t="s">
        <v>0</v>
      </c>
      <c r="G38" s="165" t="s">
        <v>21</v>
      </c>
      <c r="H38" s="30"/>
      <c r="I38" s="181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</row>
    <row r="39" ht="14.25" customHeight="1">
      <c r="A39" s="169">
        <v>2.0</v>
      </c>
      <c r="B39" s="165" t="s">
        <v>11</v>
      </c>
      <c r="C39" s="166" t="s">
        <v>308</v>
      </c>
      <c r="D39" s="165" t="s">
        <v>21</v>
      </c>
      <c r="E39" s="165">
        <v>21.0</v>
      </c>
      <c r="F39" s="165" t="s">
        <v>11</v>
      </c>
      <c r="G39" s="165" t="s">
        <v>12</v>
      </c>
      <c r="H39" s="30"/>
      <c r="I39" s="181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</row>
    <row r="40" ht="14.25" customHeight="1">
      <c r="A40" s="169">
        <v>3.0</v>
      </c>
      <c r="B40" s="165" t="s">
        <v>2</v>
      </c>
      <c r="C40" s="166" t="s">
        <v>309</v>
      </c>
      <c r="D40" s="165" t="s">
        <v>15</v>
      </c>
      <c r="E40" s="165">
        <v>7.0</v>
      </c>
      <c r="F40" s="165" t="s">
        <v>12</v>
      </c>
      <c r="G40" s="165" t="s">
        <v>2</v>
      </c>
      <c r="H40" s="30"/>
      <c r="I40" s="181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</row>
    <row r="41" ht="14.25" customHeight="1">
      <c r="A41" s="169">
        <v>4.0</v>
      </c>
      <c r="B41" s="165" t="s">
        <v>21</v>
      </c>
      <c r="C41" s="166" t="s">
        <v>260</v>
      </c>
      <c r="D41" s="165" t="s">
        <v>26</v>
      </c>
      <c r="E41" s="165">
        <v>35.0</v>
      </c>
      <c r="F41" s="165" t="s">
        <v>310</v>
      </c>
      <c r="G41" s="165" t="s">
        <v>26</v>
      </c>
      <c r="H41" s="30"/>
      <c r="I41" s="181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</row>
    <row r="42" ht="14.25" customHeight="1">
      <c r="A42" s="169">
        <v>5.0</v>
      </c>
      <c r="B42" s="165" t="s">
        <v>257</v>
      </c>
      <c r="C42" s="166" t="s">
        <v>311</v>
      </c>
      <c r="D42" s="165" t="s">
        <v>2</v>
      </c>
      <c r="E42" s="165">
        <v>215.5</v>
      </c>
      <c r="F42" s="165" t="s">
        <v>259</v>
      </c>
      <c r="G42" s="165" t="s">
        <v>4</v>
      </c>
      <c r="H42" s="30"/>
      <c r="I42" s="181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</row>
    <row r="43" ht="14.25" customHeight="1">
      <c r="A43" s="169">
        <v>6.0</v>
      </c>
      <c r="B43" s="165" t="s">
        <v>12</v>
      </c>
      <c r="C43" s="166" t="s">
        <v>312</v>
      </c>
      <c r="D43" s="165" t="s">
        <v>20</v>
      </c>
      <c r="E43" s="165" t="s">
        <v>313</v>
      </c>
      <c r="F43" s="165" t="s">
        <v>2</v>
      </c>
      <c r="G43" s="165" t="s">
        <v>4</v>
      </c>
      <c r="H43" s="30"/>
      <c r="I43" s="181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</row>
    <row r="44" ht="14.25" customHeight="1">
      <c r="A44" s="169">
        <v>7.0</v>
      </c>
      <c r="B44" s="165" t="s">
        <v>15</v>
      </c>
      <c r="C44" s="166" t="s">
        <v>314</v>
      </c>
      <c r="D44" s="165" t="s">
        <v>11</v>
      </c>
      <c r="E44" s="165" t="s">
        <v>315</v>
      </c>
      <c r="F44" s="165" t="s">
        <v>0</v>
      </c>
      <c r="G44" s="165" t="s">
        <v>10</v>
      </c>
      <c r="H44" s="30"/>
      <c r="I44" s="181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</row>
    <row r="45" ht="14.25" customHeight="1">
      <c r="A45" s="169">
        <v>8.0</v>
      </c>
      <c r="B45" s="165" t="s">
        <v>10</v>
      </c>
      <c r="C45" s="166" t="s">
        <v>316</v>
      </c>
      <c r="D45" s="165" t="s">
        <v>12</v>
      </c>
      <c r="E45" s="165">
        <v>200.0</v>
      </c>
      <c r="F45" s="165" t="s">
        <v>317</v>
      </c>
      <c r="G45" s="165" t="s">
        <v>10</v>
      </c>
      <c r="H45" s="30"/>
      <c r="I45" s="181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</row>
    <row r="46" ht="14.25" customHeight="1">
      <c r="A46" s="169">
        <v>9.0</v>
      </c>
      <c r="B46" s="165" t="s">
        <v>4</v>
      </c>
      <c r="C46" s="166" t="s">
        <v>318</v>
      </c>
      <c r="D46" s="165" t="s">
        <v>10</v>
      </c>
      <c r="E46" s="182">
        <v>0.1763888888888889</v>
      </c>
      <c r="F46" s="165" t="s">
        <v>4</v>
      </c>
      <c r="G46" s="165" t="s">
        <v>257</v>
      </c>
      <c r="H46" s="30"/>
      <c r="I46" s="181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</row>
    <row r="47" ht="14.25" customHeight="1">
      <c r="A47" s="169">
        <v>10.0</v>
      </c>
      <c r="B47" s="165" t="s">
        <v>20</v>
      </c>
      <c r="C47" s="166" t="s">
        <v>319</v>
      </c>
      <c r="D47" s="165" t="s">
        <v>2</v>
      </c>
      <c r="E47" s="165">
        <v>8.01</v>
      </c>
      <c r="F47" s="165" t="s">
        <v>20</v>
      </c>
      <c r="G47" s="165" t="s">
        <v>10</v>
      </c>
      <c r="H47" s="30"/>
      <c r="I47" s="181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</row>
    <row r="48" ht="14.25" customHeight="1">
      <c r="A48" s="169">
        <v>11.0</v>
      </c>
      <c r="B48" s="165" t="s">
        <v>5</v>
      </c>
      <c r="C48" s="166" t="s">
        <v>260</v>
      </c>
      <c r="D48" s="166" t="s">
        <v>2</v>
      </c>
      <c r="E48" s="204">
        <v>0.25</v>
      </c>
      <c r="F48" s="166" t="s">
        <v>0</v>
      </c>
      <c r="G48" s="166" t="s">
        <v>5</v>
      </c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</row>
    <row r="49" ht="14.25" customHeight="1">
      <c r="A49" s="169">
        <v>12.0</v>
      </c>
      <c r="B49" s="165" t="s">
        <v>283</v>
      </c>
      <c r="C49" s="166" t="s">
        <v>26</v>
      </c>
      <c r="D49" s="166" t="s">
        <v>26</v>
      </c>
      <c r="E49" s="166" t="s">
        <v>26</v>
      </c>
      <c r="F49" s="166" t="s">
        <v>26</v>
      </c>
      <c r="G49" s="166" t="s">
        <v>26</v>
      </c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</row>
    <row r="50" ht="14.25" customHeight="1">
      <c r="A50" s="169">
        <v>13.0</v>
      </c>
      <c r="B50" s="165" t="s">
        <v>17</v>
      </c>
      <c r="C50" s="166" t="s">
        <v>320</v>
      </c>
      <c r="D50" s="165" t="s">
        <v>2</v>
      </c>
      <c r="E50" s="165">
        <v>1555.0</v>
      </c>
      <c r="F50" s="165" t="s">
        <v>17</v>
      </c>
      <c r="G50" s="165" t="s">
        <v>10</v>
      </c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</row>
    <row r="51" ht="14.25" customHeight="1">
      <c r="A51" s="169">
        <v>14.0</v>
      </c>
      <c r="B51" s="168" t="s">
        <v>259</v>
      </c>
      <c r="C51" s="190" t="s">
        <v>321</v>
      </c>
      <c r="D51" s="165" t="s">
        <v>259</v>
      </c>
      <c r="E51" s="165">
        <v>32.0</v>
      </c>
      <c r="F51" s="165" t="s">
        <v>26</v>
      </c>
      <c r="G51" s="165" t="s">
        <v>26</v>
      </c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</row>
    <row r="52" ht="14.25" customHeight="1">
      <c r="A52" s="169">
        <v>15.0</v>
      </c>
      <c r="B52" s="165" t="s">
        <v>167</v>
      </c>
      <c r="C52" s="165" t="s">
        <v>84</v>
      </c>
      <c r="D52" s="166" t="s">
        <v>0</v>
      </c>
      <c r="E52" s="165">
        <v>36.0</v>
      </c>
      <c r="F52" s="165" t="s">
        <v>21</v>
      </c>
      <c r="G52" s="165" t="s">
        <v>12</v>
      </c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</row>
    <row r="53" ht="14.25" customHeight="1">
      <c r="A53" s="169">
        <v>16.0</v>
      </c>
      <c r="B53" s="165" t="s">
        <v>11</v>
      </c>
      <c r="C53" s="165" t="s">
        <v>322</v>
      </c>
      <c r="D53" s="166" t="s">
        <v>10</v>
      </c>
      <c r="E53" s="165" t="s">
        <v>323</v>
      </c>
      <c r="F53" s="165" t="s">
        <v>2</v>
      </c>
      <c r="G53" s="165" t="s">
        <v>5</v>
      </c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</row>
    <row r="54" ht="14.25" customHeight="1">
      <c r="A54" s="169">
        <v>17.0</v>
      </c>
      <c r="B54" s="165" t="s">
        <v>2</v>
      </c>
      <c r="C54" s="174" t="s">
        <v>324</v>
      </c>
      <c r="D54" s="165" t="s">
        <v>21</v>
      </c>
      <c r="E54" s="165" t="s">
        <v>187</v>
      </c>
      <c r="F54" s="165" t="s">
        <v>2</v>
      </c>
      <c r="G54" s="165" t="s">
        <v>12</v>
      </c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</row>
    <row r="55" ht="14.25" customHeight="1">
      <c r="A55" s="169">
        <v>18.0</v>
      </c>
      <c r="B55" s="165" t="s">
        <v>21</v>
      </c>
      <c r="C55" s="165" t="s">
        <v>325</v>
      </c>
      <c r="D55" s="165" t="s">
        <v>21</v>
      </c>
      <c r="E55" s="165">
        <v>25.0</v>
      </c>
      <c r="F55" s="165" t="s">
        <v>326</v>
      </c>
      <c r="G55" s="165" t="s">
        <v>2</v>
      </c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</row>
    <row r="56" ht="14.25" customHeight="1">
      <c r="A56" s="169">
        <v>19.0</v>
      </c>
      <c r="B56" s="165" t="s">
        <v>257</v>
      </c>
      <c r="C56" s="165" t="s">
        <v>282</v>
      </c>
      <c r="D56" s="165" t="s">
        <v>2</v>
      </c>
      <c r="E56" s="165" t="s">
        <v>327</v>
      </c>
      <c r="F56" s="165" t="s">
        <v>21</v>
      </c>
      <c r="G56" s="165" t="s">
        <v>4</v>
      </c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</row>
    <row r="57" ht="14.25" customHeight="1">
      <c r="A57" s="169">
        <v>20.0</v>
      </c>
      <c r="B57" s="165" t="s">
        <v>12</v>
      </c>
      <c r="C57" s="165" t="s">
        <v>328</v>
      </c>
      <c r="D57" s="165" t="s">
        <v>26</v>
      </c>
      <c r="E57" s="165">
        <v>0.0</v>
      </c>
      <c r="F57" s="165" t="s">
        <v>26</v>
      </c>
      <c r="G57" s="165" t="s">
        <v>26</v>
      </c>
      <c r="H57" s="205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</row>
    <row r="58" ht="14.25" customHeight="1">
      <c r="A58" s="169">
        <v>21.0</v>
      </c>
      <c r="B58" s="165" t="s">
        <v>10</v>
      </c>
      <c r="C58" s="165" t="s">
        <v>329</v>
      </c>
      <c r="D58" s="165" t="s">
        <v>4</v>
      </c>
      <c r="E58" s="165" t="s">
        <v>330</v>
      </c>
      <c r="F58" s="165" t="s">
        <v>10</v>
      </c>
      <c r="G58" s="165" t="s">
        <v>26</v>
      </c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</row>
    <row r="59" ht="14.25" customHeight="1">
      <c r="A59" s="169">
        <v>22.0</v>
      </c>
      <c r="B59" s="165" t="s">
        <v>4</v>
      </c>
      <c r="C59" s="165" t="s">
        <v>75</v>
      </c>
      <c r="D59" s="165" t="s">
        <v>0</v>
      </c>
      <c r="E59" s="165">
        <v>35.0</v>
      </c>
      <c r="F59" s="165" t="s">
        <v>4</v>
      </c>
      <c r="G59" s="165" t="s">
        <v>20</v>
      </c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</row>
    <row r="60" ht="14.25" customHeight="1">
      <c r="A60" s="169">
        <v>23.0</v>
      </c>
      <c r="B60" s="165" t="s">
        <v>20</v>
      </c>
      <c r="C60" s="165" t="s">
        <v>331</v>
      </c>
      <c r="D60" s="165" t="s">
        <v>332</v>
      </c>
      <c r="E60" s="165">
        <v>14.0</v>
      </c>
      <c r="F60" s="165" t="s">
        <v>332</v>
      </c>
      <c r="G60" s="165" t="s">
        <v>21</v>
      </c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</row>
    <row r="61" ht="14.25" customHeight="1">
      <c r="A61" s="169">
        <v>24.0</v>
      </c>
      <c r="B61" s="165" t="s">
        <v>17</v>
      </c>
      <c r="C61" s="165" t="s">
        <v>26</v>
      </c>
      <c r="D61" s="165" t="s">
        <v>26</v>
      </c>
      <c r="E61" s="165" t="s">
        <v>26</v>
      </c>
      <c r="F61" s="165" t="s">
        <v>26</v>
      </c>
      <c r="G61" s="165" t="s">
        <v>26</v>
      </c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</row>
    <row r="62" ht="14.25" customHeight="1">
      <c r="A62" s="89"/>
      <c r="B62" s="89"/>
      <c r="C62" s="30"/>
      <c r="D62" s="89"/>
      <c r="E62" s="89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</row>
    <row r="63" ht="14.2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</row>
    <row r="64" ht="14.2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</row>
    <row r="65" ht="14.2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</row>
    <row r="66" ht="14.2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</row>
    <row r="67" ht="14.2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</row>
    <row r="68" ht="14.2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</row>
    <row r="69" ht="14.2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</row>
    <row r="70" ht="14.2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</row>
    <row r="71" ht="14.2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</row>
    <row r="72" ht="14.2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</row>
    <row r="73" ht="14.2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</row>
    <row r="74" ht="14.2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</row>
    <row r="75" ht="14.2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</row>
    <row r="76" ht="14.2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</row>
    <row r="77" ht="14.2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</row>
    <row r="78" ht="14.2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</row>
    <row r="79" ht="14.2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</row>
    <row r="80" ht="14.2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</row>
    <row r="81" ht="14.2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</row>
    <row r="82" ht="14.2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</row>
    <row r="83" ht="14.2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</row>
    <row r="84" ht="14.2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</row>
    <row r="85" ht="14.2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</row>
    <row r="86" ht="14.2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</row>
    <row r="87" ht="14.2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</row>
    <row r="88" ht="14.2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</row>
    <row r="89" ht="14.2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</row>
    <row r="90" ht="14.2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</row>
    <row r="91" ht="14.2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</row>
    <row r="92" ht="14.2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</row>
    <row r="93" ht="14.2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</row>
    <row r="94" ht="14.2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</row>
    <row r="95" ht="14.2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</row>
    <row r="96" ht="14.2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</row>
    <row r="97" ht="14.2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</row>
    <row r="98" ht="14.2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</row>
    <row r="99" ht="14.2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</row>
    <row r="100" ht="14.2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</row>
    <row r="101" ht="14.2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</row>
    <row r="102" ht="14.2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</row>
    <row r="103" ht="14.2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</row>
    <row r="104" ht="14.2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</row>
    <row r="105" ht="14.2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</row>
    <row r="106" ht="14.2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</row>
    <row r="107" ht="14.2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</row>
    <row r="108" ht="14.2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</row>
    <row r="109" ht="14.2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</row>
    <row r="110" ht="14.2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</row>
    <row r="111" ht="14.2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</row>
    <row r="112" ht="14.2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</row>
    <row r="113" ht="14.2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</row>
    <row r="114" ht="14.2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</row>
    <row r="115" ht="14.2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</row>
    <row r="116" ht="14.2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</row>
    <row r="117" ht="14.2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</row>
    <row r="118" ht="14.2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</row>
    <row r="119" ht="14.2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</row>
    <row r="120" ht="14.2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</row>
    <row r="121" ht="14.2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</row>
    <row r="122" ht="14.2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</row>
    <row r="123" ht="14.2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</row>
    <row r="124" ht="14.2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</row>
    <row r="125" ht="14.2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</row>
    <row r="126" ht="14.2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</row>
    <row r="127" ht="14.2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</row>
    <row r="128" ht="14.2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</row>
    <row r="129" ht="14.2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</row>
    <row r="130" ht="14.2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</row>
    <row r="131" ht="14.2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</row>
    <row r="132" ht="14.2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</row>
    <row r="133" ht="14.2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</row>
    <row r="134" ht="14.2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</row>
    <row r="135" ht="14.2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</row>
    <row r="136" ht="14.2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</row>
    <row r="137" ht="14.2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</row>
    <row r="138" ht="14.2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</row>
    <row r="139" ht="14.2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</row>
    <row r="140" ht="14.2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</row>
    <row r="141" ht="14.2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</row>
    <row r="142" ht="14.2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</row>
    <row r="143" ht="14.2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</row>
    <row r="144" ht="14.2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</row>
    <row r="145" ht="14.2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</row>
    <row r="146" ht="14.2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</row>
    <row r="147" ht="14.2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</row>
    <row r="148" ht="14.2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</row>
    <row r="149" ht="14.2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</row>
    <row r="150" ht="14.2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</row>
    <row r="151" ht="14.2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</row>
    <row r="152" ht="14.2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</row>
    <row r="153" ht="14.2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</row>
    <row r="154" ht="14.2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</row>
    <row r="155" ht="14.2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</row>
    <row r="156" ht="14.2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</row>
    <row r="157" ht="14.2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</row>
    <row r="158" ht="14.2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</row>
    <row r="159" ht="14.2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</row>
    <row r="160" ht="14.2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</row>
    <row r="161" ht="14.2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</row>
    <row r="162" ht="14.2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</row>
    <row r="163" ht="14.2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</row>
    <row r="164" ht="14.2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</row>
    <row r="165" ht="14.2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</row>
    <row r="166" ht="14.2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</row>
    <row r="167" ht="14.2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</row>
    <row r="168" ht="14.2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</row>
    <row r="169" ht="14.2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</row>
    <row r="170" ht="14.2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</row>
    <row r="171" ht="14.2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</row>
    <row r="172" ht="14.2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</row>
    <row r="173" ht="14.2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</row>
    <row r="174" ht="14.2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</row>
    <row r="175" ht="14.2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</row>
    <row r="176" ht="14.2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</row>
    <row r="177" ht="14.2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</row>
    <row r="178" ht="14.2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</row>
    <row r="179" ht="14.2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</row>
    <row r="180" ht="14.2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</row>
    <row r="181" ht="14.2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</row>
    <row r="182" ht="14.2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</row>
    <row r="183" ht="14.2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</row>
    <row r="184" ht="14.2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</row>
    <row r="185" ht="14.2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</row>
    <row r="186" ht="14.2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</row>
    <row r="187" ht="14.2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</row>
    <row r="188" ht="14.2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</row>
    <row r="189" ht="14.2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</row>
    <row r="190" ht="14.2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</row>
    <row r="191" ht="14.2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</row>
    <row r="192" ht="14.2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</row>
    <row r="193" ht="14.2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</row>
    <row r="194" ht="14.2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</row>
    <row r="195" ht="14.2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</row>
    <row r="196" ht="14.2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</row>
    <row r="197" ht="14.2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</row>
    <row r="198" ht="14.2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</row>
    <row r="199" ht="14.2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</row>
    <row r="200" ht="14.2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</row>
    <row r="201" ht="14.2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</row>
    <row r="202" ht="14.2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</row>
    <row r="203" ht="14.2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</row>
    <row r="204" ht="14.2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</row>
    <row r="205" ht="14.2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</row>
    <row r="206" ht="14.2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</row>
    <row r="207" ht="14.2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</row>
    <row r="208" ht="14.2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</row>
    <row r="209" ht="14.2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</row>
    <row r="210" ht="14.2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</row>
    <row r="211" ht="14.2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</row>
    <row r="212" ht="14.2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</row>
    <row r="213" ht="14.2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</row>
    <row r="214" ht="14.2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</row>
    <row r="215" ht="14.2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</row>
    <row r="216" ht="14.2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</row>
    <row r="217" ht="14.2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</row>
    <row r="218" ht="14.2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</row>
    <row r="219" ht="14.2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</row>
    <row r="220" ht="14.2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</row>
    <row r="221" ht="14.2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</row>
    <row r="222" ht="14.2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</row>
    <row r="223" ht="14.2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</row>
    <row r="224" ht="14.2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</row>
    <row r="225" ht="14.2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</row>
    <row r="226" ht="14.2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</row>
    <row r="227" ht="14.2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</row>
    <row r="228" ht="14.2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</row>
    <row r="229" ht="14.2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</row>
    <row r="230" ht="14.2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</row>
    <row r="231" ht="14.2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</row>
    <row r="232" ht="14.2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</row>
    <row r="233" ht="14.2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7.25"/>
    <col customWidth="1" min="3" max="3" width="7.0"/>
    <col customWidth="1" min="4" max="4" width="6.0"/>
    <col customWidth="1" min="5" max="5" width="6.25"/>
    <col customWidth="1" min="6" max="7" width="7.25"/>
    <col customWidth="1" min="8" max="8" width="8.13"/>
    <col customWidth="1" min="9" max="9" width="8.0"/>
    <col customWidth="1" min="10" max="10" width="7.88"/>
    <col customWidth="1" min="11" max="11" width="6.0"/>
    <col customWidth="1" min="12" max="14" width="8.75"/>
    <col customWidth="1" min="15" max="15" width="2.75"/>
    <col customWidth="1" min="16" max="16" width="2.63"/>
    <col customWidth="1" min="17" max="17" width="19.13"/>
    <col customWidth="1" min="18" max="26" width="14.38"/>
  </cols>
  <sheetData>
    <row r="1" ht="14.25" customHeight="1">
      <c r="A1" s="51"/>
      <c r="B1" s="51" t="s">
        <v>167</v>
      </c>
      <c r="C1" s="51" t="s">
        <v>11</v>
      </c>
      <c r="D1" s="51" t="s">
        <v>2</v>
      </c>
      <c r="E1" s="51" t="s">
        <v>21</v>
      </c>
      <c r="F1" s="51" t="s">
        <v>257</v>
      </c>
      <c r="G1" s="51" t="s">
        <v>12</v>
      </c>
      <c r="H1" s="51" t="s">
        <v>15</v>
      </c>
      <c r="I1" s="51" t="s">
        <v>10</v>
      </c>
      <c r="J1" s="51" t="s">
        <v>4</v>
      </c>
      <c r="K1" s="51" t="s">
        <v>20</v>
      </c>
      <c r="L1" s="51" t="s">
        <v>5</v>
      </c>
      <c r="M1" s="51" t="s">
        <v>18</v>
      </c>
      <c r="N1" s="51" t="s">
        <v>283</v>
      </c>
      <c r="O1" s="30"/>
      <c r="P1" s="30"/>
      <c r="Q1" s="30"/>
    </row>
    <row r="2" ht="14.25" customHeight="1">
      <c r="A2" s="169">
        <v>1.0</v>
      </c>
      <c r="B2" s="89">
        <v>200.5</v>
      </c>
      <c r="C2" s="89">
        <v>188.5</v>
      </c>
      <c r="D2" s="89">
        <v>177.0</v>
      </c>
      <c r="E2" s="89">
        <v>114.0</v>
      </c>
      <c r="F2" s="89">
        <v>171.5</v>
      </c>
      <c r="G2" s="89">
        <v>130.0</v>
      </c>
      <c r="H2" s="89">
        <v>155.10000000000002</v>
      </c>
      <c r="I2" s="89">
        <v>203.0</v>
      </c>
      <c r="J2" s="89">
        <v>265.5</v>
      </c>
      <c r="K2" s="89">
        <v>150.0</v>
      </c>
      <c r="L2" s="89">
        <v>150.5</v>
      </c>
      <c r="M2" s="89">
        <v>161.7</v>
      </c>
      <c r="N2" s="206">
        <v>0.0</v>
      </c>
      <c r="O2" s="30"/>
      <c r="P2" s="30"/>
      <c r="Q2" s="30"/>
    </row>
    <row r="3" ht="14.25" customHeight="1">
      <c r="A3" s="169">
        <v>2.0</v>
      </c>
      <c r="B3" s="89">
        <v>197.0</v>
      </c>
      <c r="C3" s="89">
        <v>129.5</v>
      </c>
      <c r="D3" s="89">
        <v>115.6</v>
      </c>
      <c r="E3" s="207">
        <v>33.5</v>
      </c>
      <c r="F3" s="187">
        <v>30.0</v>
      </c>
      <c r="G3" s="89">
        <v>175.0</v>
      </c>
      <c r="H3" s="89">
        <v>195.8</v>
      </c>
      <c r="I3" s="89">
        <v>174.25</v>
      </c>
      <c r="J3" s="89">
        <v>288.25</v>
      </c>
      <c r="K3" s="89">
        <v>191.5</v>
      </c>
      <c r="L3" s="208">
        <v>0.0</v>
      </c>
      <c r="M3" s="209">
        <f>88.15+16.5</f>
        <v>104.65</v>
      </c>
      <c r="N3" s="89">
        <v>143.5</v>
      </c>
      <c r="O3" s="30"/>
      <c r="P3" s="30"/>
      <c r="Q3" s="30"/>
    </row>
    <row r="4" ht="14.25" customHeight="1">
      <c r="A4" s="169">
        <v>3.0</v>
      </c>
      <c r="B4" s="89">
        <v>158.0</v>
      </c>
      <c r="C4" s="185">
        <v>65.0</v>
      </c>
      <c r="D4" s="89">
        <v>118.0</v>
      </c>
      <c r="E4" s="187">
        <v>0.0</v>
      </c>
      <c r="F4" s="185">
        <v>0.0</v>
      </c>
      <c r="G4" s="89">
        <v>105.0</v>
      </c>
      <c r="H4" s="89">
        <v>157.8</v>
      </c>
      <c r="I4" s="89">
        <v>181.0</v>
      </c>
      <c r="J4" s="89">
        <v>268.9</v>
      </c>
      <c r="K4" s="89">
        <v>121.0</v>
      </c>
      <c r="L4" s="89">
        <v>132.0</v>
      </c>
      <c r="M4" s="89">
        <v>150.5</v>
      </c>
      <c r="N4" s="206">
        <v>24.5</v>
      </c>
      <c r="O4" s="30"/>
      <c r="P4" s="30"/>
      <c r="Q4" s="30"/>
    </row>
    <row r="5" ht="14.25" customHeight="1">
      <c r="A5" s="169">
        <v>4.0</v>
      </c>
      <c r="B5" s="89">
        <v>170.0</v>
      </c>
      <c r="C5" s="89">
        <v>188.5</v>
      </c>
      <c r="D5" s="89">
        <v>286.2</v>
      </c>
      <c r="E5" s="89">
        <v>101.5</v>
      </c>
      <c r="F5" s="89">
        <v>103.5</v>
      </c>
      <c r="G5" s="89">
        <v>156.0</v>
      </c>
      <c r="H5" s="89">
        <v>147.5</v>
      </c>
      <c r="I5" s="89">
        <v>171.75</v>
      </c>
      <c r="J5" s="89">
        <v>273.75</v>
      </c>
      <c r="K5" s="89">
        <v>126.5</v>
      </c>
      <c r="L5" s="89">
        <v>103.5</v>
      </c>
      <c r="M5" s="89">
        <v>101.3</v>
      </c>
      <c r="N5" s="187">
        <v>0.0</v>
      </c>
      <c r="O5" s="30"/>
      <c r="P5" s="30"/>
      <c r="Q5" s="30"/>
    </row>
    <row r="6" ht="14.25" customHeight="1">
      <c r="A6" s="169">
        <v>5.0</v>
      </c>
      <c r="B6" s="89">
        <v>303.0</v>
      </c>
      <c r="C6" s="89">
        <v>222.5</v>
      </c>
      <c r="D6" s="89">
        <v>201.5</v>
      </c>
      <c r="E6" s="89">
        <v>121.0</v>
      </c>
      <c r="F6" s="89">
        <v>117.0</v>
      </c>
      <c r="G6" s="89">
        <v>142.0</v>
      </c>
      <c r="H6" s="89">
        <v>129.6</v>
      </c>
      <c r="I6" s="89">
        <v>170.5</v>
      </c>
      <c r="J6" s="89">
        <v>251.05</v>
      </c>
      <c r="K6" s="89">
        <v>187.5</v>
      </c>
      <c r="L6" s="89">
        <v>123.0</v>
      </c>
      <c r="M6" s="89">
        <v>120.9</v>
      </c>
      <c r="N6" s="187">
        <v>0.0</v>
      </c>
      <c r="O6" s="30"/>
      <c r="P6" s="30"/>
      <c r="Q6" s="30"/>
    </row>
    <row r="7" ht="14.25" customHeight="1">
      <c r="A7" s="169">
        <v>6.0</v>
      </c>
      <c r="B7" s="89">
        <v>180.5</v>
      </c>
      <c r="C7" s="89">
        <v>141.0</v>
      </c>
      <c r="D7" s="89">
        <v>232.0</v>
      </c>
      <c r="E7" s="89">
        <v>109.0</v>
      </c>
      <c r="F7" s="89">
        <v>131.0</v>
      </c>
      <c r="G7" s="89">
        <v>183.5</v>
      </c>
      <c r="H7" s="89">
        <v>185.5</v>
      </c>
      <c r="I7" s="89">
        <v>121.5</v>
      </c>
      <c r="J7" s="89">
        <v>210.45</v>
      </c>
      <c r="K7" s="89">
        <v>192.0</v>
      </c>
      <c r="L7" s="208">
        <v>0.0</v>
      </c>
      <c r="M7" s="89">
        <v>137.0</v>
      </c>
      <c r="N7" s="89">
        <v>129.0</v>
      </c>
      <c r="O7" s="30"/>
      <c r="P7" s="30"/>
      <c r="Q7" s="30"/>
    </row>
    <row r="8" ht="14.25" customHeight="1">
      <c r="A8" s="169">
        <v>7.0</v>
      </c>
      <c r="B8" s="89">
        <v>168.5</v>
      </c>
      <c r="C8" s="89">
        <v>230.0</v>
      </c>
      <c r="D8" s="185">
        <v>0.0</v>
      </c>
      <c r="E8" s="89">
        <v>131.5</v>
      </c>
      <c r="F8" s="89">
        <v>194.5</v>
      </c>
      <c r="G8" s="89">
        <v>148.3</v>
      </c>
      <c r="H8" s="89">
        <v>187.7</v>
      </c>
      <c r="I8" s="89">
        <v>162.5</v>
      </c>
      <c r="J8" s="89">
        <f>121.4+114</f>
        <v>235.4</v>
      </c>
      <c r="K8" s="89">
        <v>873.0</v>
      </c>
      <c r="L8" s="89">
        <v>106.0</v>
      </c>
      <c r="M8" s="89">
        <v>100.7</v>
      </c>
      <c r="N8" s="209">
        <v>117.0</v>
      </c>
      <c r="O8" s="30"/>
      <c r="P8" s="30"/>
      <c r="Q8" s="30"/>
    </row>
    <row r="9" ht="14.25" customHeight="1">
      <c r="A9" s="169">
        <v>8.0</v>
      </c>
      <c r="B9" s="89">
        <v>157.5</v>
      </c>
      <c r="C9" s="89">
        <v>140.0</v>
      </c>
      <c r="D9" s="89">
        <v>218.0</v>
      </c>
      <c r="E9" s="89">
        <v>119.5</v>
      </c>
      <c r="F9" s="89">
        <v>101.5</v>
      </c>
      <c r="G9" s="89">
        <v>102.0</v>
      </c>
      <c r="H9" s="89">
        <v>170.3</v>
      </c>
      <c r="I9" s="89">
        <v>165.5</v>
      </c>
      <c r="J9" s="89">
        <v>224.25</v>
      </c>
      <c r="K9" s="89">
        <v>101.0</v>
      </c>
      <c r="L9" s="208">
        <v>0.0</v>
      </c>
      <c r="M9" s="89">
        <v>114.4</v>
      </c>
      <c r="N9" s="89">
        <v>110.5</v>
      </c>
      <c r="O9" s="30"/>
      <c r="P9" s="30"/>
      <c r="Q9" s="30"/>
    </row>
    <row r="10" ht="14.25" customHeight="1">
      <c r="A10" s="169">
        <v>9.0</v>
      </c>
      <c r="B10" s="89">
        <v>226.5</v>
      </c>
      <c r="C10" s="89">
        <v>147.5</v>
      </c>
      <c r="D10" s="89">
        <v>154.5</v>
      </c>
      <c r="E10" s="89">
        <v>134.0</v>
      </c>
      <c r="F10" s="207">
        <v>52.0</v>
      </c>
      <c r="G10" s="89">
        <v>106.0</v>
      </c>
      <c r="H10" s="89">
        <v>221.5</v>
      </c>
      <c r="I10" s="89">
        <v>207.0</v>
      </c>
      <c r="J10" s="89">
        <v>338.65</v>
      </c>
      <c r="K10" s="89">
        <v>145.5</v>
      </c>
      <c r="L10" s="208">
        <v>0.0</v>
      </c>
      <c r="M10" s="89">
        <v>105.19999999999999</v>
      </c>
      <c r="N10" s="89">
        <v>110.0</v>
      </c>
      <c r="O10" s="30"/>
      <c r="P10" s="30"/>
      <c r="Q10" s="30"/>
    </row>
    <row r="11" ht="14.25" customHeight="1">
      <c r="A11" s="169">
        <v>10.0</v>
      </c>
      <c r="B11" s="89">
        <v>239.0</v>
      </c>
      <c r="C11" s="89">
        <v>143.0</v>
      </c>
      <c r="D11" s="89">
        <v>248.5</v>
      </c>
      <c r="E11" s="210">
        <v>30.0</v>
      </c>
      <c r="F11" s="206">
        <v>45.5</v>
      </c>
      <c r="G11" s="89">
        <v>102.3</v>
      </c>
      <c r="H11" s="89">
        <v>117.5</v>
      </c>
      <c r="I11" s="89">
        <v>123.0</v>
      </c>
      <c r="J11" s="89">
        <v>148.25</v>
      </c>
      <c r="K11" s="89">
        <v>101.5</v>
      </c>
      <c r="L11" s="208">
        <v>0.0</v>
      </c>
      <c r="M11" s="89">
        <v>120.4</v>
      </c>
      <c r="N11" s="89">
        <v>183.55</v>
      </c>
      <c r="O11" s="30"/>
      <c r="P11" s="30"/>
      <c r="Q11" s="30"/>
    </row>
    <row r="12" ht="14.25" customHeight="1">
      <c r="A12" s="169">
        <v>11.0</v>
      </c>
      <c r="B12" s="89">
        <v>130.0</v>
      </c>
      <c r="C12" s="89">
        <v>177.0</v>
      </c>
      <c r="D12" s="185">
        <v>10.5</v>
      </c>
      <c r="E12" s="185">
        <v>0.0</v>
      </c>
      <c r="F12" s="206">
        <v>39.0</v>
      </c>
      <c r="G12" s="89">
        <v>129.0</v>
      </c>
      <c r="H12" s="89">
        <v>135.5</v>
      </c>
      <c r="I12" s="189">
        <v>109.85</v>
      </c>
      <c r="J12" s="89">
        <v>143.05</v>
      </c>
      <c r="K12" s="89">
        <v>207.5</v>
      </c>
      <c r="L12" s="208">
        <v>0.0</v>
      </c>
      <c r="M12" s="89">
        <v>120.0</v>
      </c>
      <c r="N12" s="89">
        <v>168.5</v>
      </c>
      <c r="O12" s="30"/>
      <c r="P12" s="30"/>
      <c r="Q12" s="30"/>
    </row>
    <row r="13" ht="14.25" customHeight="1">
      <c r="A13" s="169">
        <v>12.0</v>
      </c>
      <c r="B13" s="89">
        <v>137.5</v>
      </c>
      <c r="C13" s="189">
        <v>113.5</v>
      </c>
      <c r="D13" s="89">
        <v>243.5</v>
      </c>
      <c r="E13" s="185">
        <v>0.0</v>
      </c>
      <c r="F13" s="206">
        <v>48.0</v>
      </c>
      <c r="G13" s="211">
        <v>101.0</v>
      </c>
      <c r="H13" s="211">
        <v>101.0</v>
      </c>
      <c r="I13" s="189">
        <v>114.25</v>
      </c>
      <c r="J13" s="89">
        <v>154.75</v>
      </c>
      <c r="K13" s="89">
        <v>141.0</v>
      </c>
      <c r="L13" s="208">
        <v>0.0</v>
      </c>
      <c r="M13" s="89">
        <v>126.3</v>
      </c>
      <c r="N13" s="187">
        <v>0.0</v>
      </c>
      <c r="O13" s="30"/>
      <c r="P13" s="30"/>
      <c r="Q13" s="30"/>
    </row>
    <row r="14" ht="14.25" customHeight="1">
      <c r="A14" s="169">
        <v>13.0</v>
      </c>
      <c r="B14" s="89">
        <v>161.5</v>
      </c>
      <c r="C14" s="89">
        <v>116.2</v>
      </c>
      <c r="D14" s="89">
        <v>200.0</v>
      </c>
      <c r="E14" s="210">
        <v>0.0</v>
      </c>
      <c r="F14" s="89">
        <v>100.0</v>
      </c>
      <c r="G14" s="89">
        <v>154.0</v>
      </c>
      <c r="H14" s="89">
        <v>149.3</v>
      </c>
      <c r="I14" s="89">
        <v>232.45</v>
      </c>
      <c r="J14" s="89">
        <v>260.45</v>
      </c>
      <c r="K14" s="89">
        <v>117.0</v>
      </c>
      <c r="L14" s="208">
        <v>0.0</v>
      </c>
      <c r="M14" s="89">
        <v>173.5</v>
      </c>
      <c r="N14" s="206">
        <v>0.0</v>
      </c>
      <c r="O14" s="30"/>
      <c r="P14" s="30"/>
      <c r="Q14" s="30"/>
    </row>
    <row r="15" ht="14.25" customHeight="1">
      <c r="A15" s="169">
        <v>14.0</v>
      </c>
      <c r="B15" s="189">
        <v>113.0</v>
      </c>
      <c r="C15" s="89">
        <v>159.5</v>
      </c>
      <c r="D15" s="89">
        <v>236.0</v>
      </c>
      <c r="E15" s="206">
        <v>87.0</v>
      </c>
      <c r="F15" s="206">
        <v>40.5</v>
      </c>
      <c r="G15" s="89">
        <v>110.0</v>
      </c>
      <c r="H15" s="89">
        <v>107.9</v>
      </c>
      <c r="I15" s="89">
        <v>158.0</v>
      </c>
      <c r="J15" s="89">
        <v>146.75</v>
      </c>
      <c r="K15" s="89">
        <v>101.0</v>
      </c>
      <c r="L15" s="208">
        <v>0.0</v>
      </c>
      <c r="M15" s="185">
        <v>2.6</v>
      </c>
      <c r="N15" s="206">
        <v>63.0</v>
      </c>
      <c r="O15" s="30"/>
      <c r="P15" s="30"/>
      <c r="Q15" s="30"/>
    </row>
    <row r="16" ht="14.25" customHeight="1">
      <c r="A16" s="169">
        <v>15.0</v>
      </c>
      <c r="B16" s="89">
        <v>184.5</v>
      </c>
      <c r="C16" s="89">
        <v>140.5</v>
      </c>
      <c r="D16" s="89">
        <v>241.5</v>
      </c>
      <c r="E16" s="206">
        <v>40.0</v>
      </c>
      <c r="F16" s="206">
        <v>53.0</v>
      </c>
      <c r="G16" s="89">
        <v>106.5</v>
      </c>
      <c r="H16" s="89">
        <v>215.5</v>
      </c>
      <c r="I16" s="212">
        <v>65.3</v>
      </c>
      <c r="J16" s="185">
        <v>54.7</v>
      </c>
      <c r="K16" s="89">
        <v>324.0</v>
      </c>
      <c r="L16" s="208">
        <v>0.0</v>
      </c>
      <c r="M16" s="89">
        <v>135.0</v>
      </c>
      <c r="N16" s="206">
        <v>0.0</v>
      </c>
      <c r="O16" s="30"/>
      <c r="P16" s="30"/>
      <c r="Q16" s="30"/>
    </row>
    <row r="17" ht="14.25" customHeight="1">
      <c r="A17" s="169">
        <v>16.0</v>
      </c>
      <c r="B17" s="89">
        <v>159.0</v>
      </c>
      <c r="C17" s="89">
        <v>185.5</v>
      </c>
      <c r="D17" s="89">
        <v>263.0</v>
      </c>
      <c r="E17" s="89">
        <f>96.5+13.5</f>
        <v>110</v>
      </c>
      <c r="F17" s="89">
        <v>102.5</v>
      </c>
      <c r="G17" s="89">
        <v>151.8</v>
      </c>
      <c r="H17" s="189">
        <v>101.0</v>
      </c>
      <c r="I17" s="89">
        <v>163.5</v>
      </c>
      <c r="J17" s="89">
        <v>288.55</v>
      </c>
      <c r="K17" s="89">
        <v>105.5</v>
      </c>
      <c r="L17" s="208">
        <v>0.0</v>
      </c>
      <c r="M17" s="89">
        <v>114.3</v>
      </c>
      <c r="N17" s="89">
        <v>195.0</v>
      </c>
      <c r="O17" s="30"/>
      <c r="P17" s="30"/>
      <c r="Q17" s="30"/>
    </row>
    <row r="18" ht="14.25" customHeight="1">
      <c r="A18" s="169">
        <v>17.0</v>
      </c>
      <c r="B18" s="89">
        <v>200.0</v>
      </c>
      <c r="C18" s="89">
        <v>137.5</v>
      </c>
      <c r="D18" s="89">
        <v>279.0</v>
      </c>
      <c r="E18" s="89">
        <v>101.0</v>
      </c>
      <c r="F18" s="89">
        <v>119.5</v>
      </c>
      <c r="G18" s="89">
        <v>134.5</v>
      </c>
      <c r="H18" s="89">
        <v>142.8</v>
      </c>
      <c r="I18" s="89">
        <v>171.5</v>
      </c>
      <c r="J18" s="89">
        <v>223.05</v>
      </c>
      <c r="K18" s="89">
        <v>100.5</v>
      </c>
      <c r="L18" s="208">
        <v>0.0</v>
      </c>
      <c r="M18" s="89">
        <v>189.5</v>
      </c>
      <c r="N18" s="89">
        <v>170.0</v>
      </c>
      <c r="O18" s="30"/>
      <c r="P18" s="30"/>
      <c r="Q18" s="30"/>
    </row>
    <row r="19" ht="14.25" customHeight="1">
      <c r="A19" s="169">
        <v>18.0</v>
      </c>
      <c r="B19" s="89">
        <v>135.0</v>
      </c>
      <c r="C19" s="89">
        <v>161.5</v>
      </c>
      <c r="D19" s="197">
        <v>60.0</v>
      </c>
      <c r="E19" s="89">
        <v>111.0</v>
      </c>
      <c r="F19" s="206">
        <v>32.0</v>
      </c>
      <c r="G19" s="89">
        <v>120.5</v>
      </c>
      <c r="H19" s="189">
        <v>101.0</v>
      </c>
      <c r="I19" s="89">
        <v>216.0</v>
      </c>
      <c r="J19" s="89">
        <v>307.25</v>
      </c>
      <c r="K19" s="89">
        <v>102.0</v>
      </c>
      <c r="L19" s="208">
        <v>0.0</v>
      </c>
      <c r="M19" s="89">
        <v>121.4</v>
      </c>
      <c r="N19" s="89">
        <v>189.2</v>
      </c>
      <c r="O19" s="30"/>
      <c r="P19" s="30"/>
      <c r="Q19" s="30"/>
    </row>
    <row r="20" ht="14.25" customHeight="1">
      <c r="A20" s="169">
        <v>19.0</v>
      </c>
      <c r="B20" s="89">
        <v>260.0</v>
      </c>
      <c r="C20" s="89">
        <v>215.5</v>
      </c>
      <c r="D20" s="89">
        <v>177.0</v>
      </c>
      <c r="E20" s="210">
        <v>0.0</v>
      </c>
      <c r="F20" s="187">
        <v>30.0</v>
      </c>
      <c r="G20" s="89">
        <v>119.5</v>
      </c>
      <c r="H20" s="89">
        <v>146.3</v>
      </c>
      <c r="I20" s="89">
        <v>118.7</v>
      </c>
      <c r="J20" s="212">
        <v>44.2</v>
      </c>
      <c r="K20" s="187">
        <v>48.0</v>
      </c>
      <c r="L20" s="208">
        <v>0.0</v>
      </c>
      <c r="M20" s="89">
        <v>179.4</v>
      </c>
      <c r="N20" s="89">
        <v>266.0</v>
      </c>
      <c r="O20" s="30"/>
      <c r="P20" s="30"/>
      <c r="Q20" s="30"/>
    </row>
    <row r="21" ht="14.25" customHeight="1">
      <c r="A21" s="169">
        <v>20.0</v>
      </c>
      <c r="B21" s="89">
        <v>150.5</v>
      </c>
      <c r="C21" s="189">
        <v>100.5</v>
      </c>
      <c r="D21" s="89">
        <v>178.5</v>
      </c>
      <c r="E21" s="210">
        <v>65.0</v>
      </c>
      <c r="F21" s="89">
        <v>106.0</v>
      </c>
      <c r="G21" s="89">
        <v>101.5</v>
      </c>
      <c r="H21" s="89">
        <v>105.49999999999999</v>
      </c>
      <c r="I21" s="89">
        <v>139.0</v>
      </c>
      <c r="J21" s="189">
        <v>100.75</v>
      </c>
      <c r="K21" s="206">
        <v>70.0</v>
      </c>
      <c r="L21" s="208">
        <v>0.0</v>
      </c>
      <c r="M21" s="89">
        <v>119.6</v>
      </c>
      <c r="N21" s="89">
        <v>422.0</v>
      </c>
      <c r="O21" s="30"/>
      <c r="P21" s="59"/>
      <c r="Q21" s="30" t="s">
        <v>120</v>
      </c>
    </row>
    <row r="22" ht="14.25" customHeight="1">
      <c r="A22" s="169">
        <v>21.0</v>
      </c>
      <c r="B22" s="89">
        <v>147.5</v>
      </c>
      <c r="C22" s="89">
        <v>129.5</v>
      </c>
      <c r="D22" s="89">
        <v>245.5</v>
      </c>
      <c r="E22" s="89">
        <v>127.0</v>
      </c>
      <c r="F22" s="89">
        <v>113.0</v>
      </c>
      <c r="G22" s="89">
        <v>106.0</v>
      </c>
      <c r="H22" s="89">
        <v>109.1</v>
      </c>
      <c r="I22" s="89">
        <v>118.5</v>
      </c>
      <c r="J22" s="89">
        <v>139.85</v>
      </c>
      <c r="K22" s="213">
        <v>60.0</v>
      </c>
      <c r="L22" s="199">
        <v>0.0</v>
      </c>
      <c r="M22" s="207">
        <v>8.6</v>
      </c>
      <c r="N22" s="89">
        <v>472.3</v>
      </c>
      <c r="O22" s="30"/>
      <c r="P22" s="62"/>
      <c r="Q22" s="30" t="s">
        <v>121</v>
      </c>
    </row>
    <row r="23" ht="14.25" customHeight="1">
      <c r="A23" s="169">
        <v>22.0</v>
      </c>
      <c r="B23" s="185">
        <v>78.5</v>
      </c>
      <c r="C23" s="89">
        <v>156.5</v>
      </c>
      <c r="D23" s="89">
        <v>235.0</v>
      </c>
      <c r="E23" s="89">
        <v>101.0</v>
      </c>
      <c r="F23" s="206">
        <v>90.5</v>
      </c>
      <c r="G23" s="185">
        <v>0.0</v>
      </c>
      <c r="H23" s="89">
        <v>135.2</v>
      </c>
      <c r="I23" s="89">
        <v>316.0</v>
      </c>
      <c r="J23" s="89">
        <v>185.85</v>
      </c>
      <c r="K23" s="213">
        <v>36.0</v>
      </c>
      <c r="L23" s="214">
        <v>0.0</v>
      </c>
      <c r="M23" s="185">
        <v>0.0</v>
      </c>
      <c r="N23" s="89">
        <v>314.0</v>
      </c>
      <c r="O23" s="30"/>
      <c r="P23" s="184"/>
      <c r="Q23" s="30" t="s">
        <v>122</v>
      </c>
    </row>
    <row r="24" ht="14.25" customHeight="1">
      <c r="A24" s="169">
        <v>23.0</v>
      </c>
      <c r="B24" s="185">
        <v>0.0</v>
      </c>
      <c r="C24" s="89">
        <v>155.5</v>
      </c>
      <c r="D24" s="89">
        <v>227.5</v>
      </c>
      <c r="E24" s="207">
        <v>0.0</v>
      </c>
      <c r="F24" s="207">
        <v>30.0</v>
      </c>
      <c r="G24" s="189">
        <v>100.5</v>
      </c>
      <c r="H24" s="89">
        <v>118.2</v>
      </c>
      <c r="I24" s="89">
        <v>131.9</v>
      </c>
      <c r="J24" s="89">
        <v>211.9</v>
      </c>
      <c r="K24" s="89">
        <v>112.0</v>
      </c>
      <c r="L24" s="214">
        <v>0.0</v>
      </c>
      <c r="M24" s="185">
        <v>7.9</v>
      </c>
      <c r="N24" s="89">
        <v>206.0</v>
      </c>
      <c r="O24" s="30"/>
      <c r="P24" s="215"/>
      <c r="Q24" s="30" t="s">
        <v>333</v>
      </c>
    </row>
    <row r="25" ht="14.25" customHeight="1">
      <c r="A25" s="169" t="s">
        <v>334</v>
      </c>
      <c r="B25" s="207">
        <v>0.0</v>
      </c>
      <c r="C25" s="207">
        <v>88.5</v>
      </c>
      <c r="D25" s="207">
        <v>121.5</v>
      </c>
      <c r="E25" s="207">
        <v>11.0</v>
      </c>
      <c r="F25" s="207">
        <v>0.0</v>
      </c>
      <c r="G25" s="207">
        <v>76.0</v>
      </c>
      <c r="H25" s="207">
        <v>101.2</v>
      </c>
      <c r="I25" s="207">
        <v>148.75</v>
      </c>
      <c r="J25" s="207">
        <v>115.15</v>
      </c>
      <c r="K25" s="207">
        <v>54.0</v>
      </c>
      <c r="L25" s="207">
        <v>0.0</v>
      </c>
      <c r="M25" s="207">
        <v>0.0</v>
      </c>
      <c r="N25" s="207">
        <v>357.5</v>
      </c>
      <c r="O25" s="30"/>
      <c r="P25" s="216"/>
      <c r="Q25" s="30" t="s">
        <v>335</v>
      </c>
    </row>
    <row r="26" ht="14.25" customHeight="1">
      <c r="A26" s="66" t="s">
        <v>336</v>
      </c>
      <c r="B26" s="155">
        <f>SUM(B2:B14,B16:B22,B25)</f>
        <v>3666</v>
      </c>
      <c r="C26" s="155">
        <f>SUM(C2:C3,C5:C12,C14:C20,C22:C25)</f>
        <v>3353.7</v>
      </c>
      <c r="D26" s="155">
        <f>SUM(D2:D7,D9:D11,D13:D18,D20:D25)</f>
        <v>4399.3</v>
      </c>
      <c r="E26" s="155">
        <f>SUM(E2:E3,E5:E11,E14:E25)</f>
        <v>1647</v>
      </c>
      <c r="F26" s="155">
        <f>SUM(F2,F5:F19,F21:F25)</f>
        <v>1790.5</v>
      </c>
      <c r="G26" s="155">
        <f>SUM(G2:G12,G14:G22,G24)</f>
        <v>2683.9</v>
      </c>
      <c r="H26" s="155">
        <f>SUM(H2:H12,H14:H16,H18,H20:H25)</f>
        <v>3134.8</v>
      </c>
      <c r="I26" s="155">
        <f>SUM(I2:I11,I14:I15,I17:I25)</f>
        <v>3594.3</v>
      </c>
      <c r="J26" s="155">
        <f>SUM(J2:J15,J17:J19,J22:J25)</f>
        <v>4681.05</v>
      </c>
      <c r="K26" s="155">
        <f>SUM(K2:K19,K21,K24:K25)</f>
        <v>3624</v>
      </c>
      <c r="L26" s="155">
        <f>SUM(L2:L21,L25)</f>
        <v>615</v>
      </c>
      <c r="M26" s="155">
        <f>SUM(M2:M14,M16:M22,M25)</f>
        <v>2504.35</v>
      </c>
      <c r="N26" s="155">
        <f>SUM(N2:N4,N7:N12,N14:N25)</f>
        <v>3641.55</v>
      </c>
      <c r="O26" s="30"/>
      <c r="P26" s="64"/>
      <c r="Q26" s="30" t="s">
        <v>123</v>
      </c>
    </row>
    <row r="27" ht="14.25" customHeight="1">
      <c r="A27" s="156" t="s">
        <v>337</v>
      </c>
      <c r="B27" s="158">
        <f>AVERAGE(B2:B14,B16:B22)</f>
        <v>183.3</v>
      </c>
      <c r="C27" s="158">
        <f>AVERAGE(C2:C3,C5:C12,C14:C20,C22:C24)</f>
        <v>163.26</v>
      </c>
      <c r="D27" s="158">
        <f>AVERAGE(D2:D7,D9:D11,D13:D18,D20:D24)</f>
        <v>213.89</v>
      </c>
      <c r="E27" s="158">
        <f>AVERAGE(E2:E3,E5:E11,E14:E24)</f>
        <v>81.8</v>
      </c>
      <c r="F27" s="158">
        <f>AVERAGE(F2,F5:F19,F21:F24)</f>
        <v>89.525</v>
      </c>
      <c r="G27" s="158">
        <f>AVERAGE(G2:G12,G14:G22)</f>
        <v>129.17</v>
      </c>
      <c r="H27" s="158">
        <f>AVERAGE(H2:H12,H14:H16,H18,H20:H24)</f>
        <v>151.68</v>
      </c>
      <c r="I27" s="158">
        <f>AVERAGE(I2:I11,I14:I15,I17:I24)</f>
        <v>172.2775</v>
      </c>
      <c r="J27" s="158">
        <f>AVERAGE(J2:J15,J17:J19,J22:J24)</f>
        <v>228.295</v>
      </c>
      <c r="K27" s="158">
        <f>AVERAGE(K2:K19,K21,K24)</f>
        <v>178.5</v>
      </c>
      <c r="L27" s="158">
        <f>AVERAGE(L2:L21)</f>
        <v>30.75</v>
      </c>
      <c r="M27" s="158">
        <f>AVERAGE(M2:M14,M16:M22)</f>
        <v>125.2175</v>
      </c>
      <c r="N27" s="158">
        <f>AVERAGE(N2:N4,N7:N12,N14:N24)</f>
        <v>164.2025</v>
      </c>
      <c r="O27" s="30"/>
      <c r="P27" s="30"/>
      <c r="Q27" s="30"/>
    </row>
    <row r="28" ht="14.25" customHeight="1">
      <c r="A28" s="217" t="s">
        <v>338</v>
      </c>
      <c r="B28" s="30">
        <f>RANK(B26,B26:N26)</f>
        <v>3</v>
      </c>
      <c r="C28" s="30">
        <f>RANK(C26,B26:N26)</f>
        <v>7</v>
      </c>
      <c r="D28" s="30">
        <f>RANK(D26,B26:N26)</f>
        <v>2</v>
      </c>
      <c r="E28" s="30">
        <f>RANK(E26,B26:N26)</f>
        <v>12</v>
      </c>
      <c r="F28" s="30">
        <f>RANK(F26,B26:N26)</f>
        <v>11</v>
      </c>
      <c r="G28" s="30">
        <f>RANK(G26,B26:N26)</f>
        <v>9</v>
      </c>
      <c r="H28" s="30">
        <f>RANK(H26,B26:N26)</f>
        <v>8</v>
      </c>
      <c r="I28" s="30">
        <f>RANK(I26,B26:N26)</f>
        <v>6</v>
      </c>
      <c r="J28" s="30">
        <f>RANK(J26,B26:N26)</f>
        <v>1</v>
      </c>
      <c r="K28" s="30">
        <f>RANK(K26,B26:N26)</f>
        <v>5</v>
      </c>
      <c r="L28" s="30">
        <f>RANK(L26,B26:N26)</f>
        <v>13</v>
      </c>
      <c r="M28" s="30">
        <f>RANK(M26,B26:N26)</f>
        <v>10</v>
      </c>
      <c r="N28" s="30">
        <f>RANK(N26,B26:N26)</f>
        <v>4</v>
      </c>
      <c r="O28" s="30"/>
      <c r="P28" s="30"/>
      <c r="Q28" s="30"/>
    </row>
    <row r="29" ht="14.2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</row>
    <row r="30" ht="14.25" customHeight="1">
      <c r="A30" s="30" t="s">
        <v>339</v>
      </c>
      <c r="B30" s="30">
        <v>3857.5</v>
      </c>
      <c r="C30" s="30">
        <v>3632.7</v>
      </c>
      <c r="D30" s="30">
        <v>4469.8</v>
      </c>
      <c r="E30" s="30">
        <v>1647.0</v>
      </c>
      <c r="F30" s="30">
        <v>1850.5</v>
      </c>
      <c r="G30" s="30">
        <v>2860.9</v>
      </c>
      <c r="H30" s="30">
        <v>3437.7999999999997</v>
      </c>
      <c r="I30" s="30">
        <v>3883.7</v>
      </c>
      <c r="J30" s="30">
        <v>4880.700000000001</v>
      </c>
      <c r="K30" s="30">
        <v>3768.0</v>
      </c>
      <c r="L30" s="30">
        <v>615.0</v>
      </c>
      <c r="M30" s="30">
        <v>2514.85</v>
      </c>
      <c r="N30" s="30">
        <v>3641.55</v>
      </c>
      <c r="O30" s="30"/>
      <c r="P30" s="30"/>
      <c r="Q30" s="30"/>
      <c r="R30" s="30"/>
      <c r="S30" s="30"/>
      <c r="T30" s="30"/>
      <c r="U30" s="30"/>
      <c r="V30" s="30"/>
      <c r="W30" s="30"/>
      <c r="X30" s="30"/>
    </row>
    <row r="31" ht="14.2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</row>
    <row r="32" ht="14.25" customHeight="1">
      <c r="A32" s="51" t="s">
        <v>118</v>
      </c>
      <c r="B32" s="51" t="s">
        <v>139</v>
      </c>
      <c r="C32" s="51" t="s">
        <v>140</v>
      </c>
      <c r="D32" s="51" t="s">
        <v>231</v>
      </c>
      <c r="E32" s="51" t="s">
        <v>137</v>
      </c>
      <c r="F32" s="51" t="s">
        <v>232</v>
      </c>
      <c r="G32" s="51" t="s">
        <v>233</v>
      </c>
      <c r="H32" s="30"/>
      <c r="I32" s="66" t="s">
        <v>340</v>
      </c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</row>
    <row r="33" ht="14.25" customHeight="1">
      <c r="A33" s="169">
        <v>1.0</v>
      </c>
      <c r="B33" s="89" t="s">
        <v>26</v>
      </c>
      <c r="C33" s="89" t="s">
        <v>26</v>
      </c>
      <c r="D33" s="89" t="s">
        <v>26</v>
      </c>
      <c r="E33" s="89" t="s">
        <v>26</v>
      </c>
      <c r="F33" s="89" t="s">
        <v>26</v>
      </c>
      <c r="G33" s="89" t="s">
        <v>26</v>
      </c>
      <c r="H33" s="181"/>
      <c r="I33" s="216" t="s">
        <v>4</v>
      </c>
      <c r="J33" s="218" t="s">
        <v>5</v>
      </c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</row>
    <row r="34" ht="14.25" customHeight="1">
      <c r="A34" s="169">
        <v>2.0</v>
      </c>
      <c r="B34" s="89" t="s">
        <v>167</v>
      </c>
      <c r="C34" s="30" t="s">
        <v>92</v>
      </c>
      <c r="D34" s="89" t="s">
        <v>0</v>
      </c>
      <c r="E34" s="89">
        <v>26.0</v>
      </c>
      <c r="F34" s="89" t="s">
        <v>12</v>
      </c>
      <c r="G34" s="89" t="s">
        <v>4</v>
      </c>
      <c r="H34" s="181"/>
      <c r="I34" s="216" t="s">
        <v>2</v>
      </c>
      <c r="J34" s="218" t="s">
        <v>21</v>
      </c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</row>
    <row r="35" ht="14.25" customHeight="1">
      <c r="A35" s="169">
        <v>3.0</v>
      </c>
      <c r="B35" s="89" t="s">
        <v>11</v>
      </c>
      <c r="C35" s="30" t="s">
        <v>91</v>
      </c>
      <c r="D35" s="89" t="s">
        <v>11</v>
      </c>
      <c r="E35" s="89">
        <v>16.0</v>
      </c>
      <c r="F35" s="89" t="s">
        <v>0</v>
      </c>
      <c r="G35" s="89" t="s">
        <v>5</v>
      </c>
      <c r="H35" s="181"/>
      <c r="I35" s="216" t="s">
        <v>0</v>
      </c>
      <c r="J35" s="218" t="s">
        <v>257</v>
      </c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</row>
    <row r="36" ht="14.25" customHeight="1">
      <c r="A36" s="169">
        <v>4.0</v>
      </c>
      <c r="B36" s="89" t="s">
        <v>2</v>
      </c>
      <c r="C36" s="30" t="s">
        <v>341</v>
      </c>
      <c r="D36" s="89" t="s">
        <v>2</v>
      </c>
      <c r="E36" s="89">
        <v>59.0</v>
      </c>
      <c r="F36" s="89" t="s">
        <v>4</v>
      </c>
      <c r="G36" s="89" t="s">
        <v>10</v>
      </c>
      <c r="H36" s="181"/>
      <c r="I36" s="216" t="s">
        <v>283</v>
      </c>
      <c r="J36" s="218" t="s">
        <v>18</v>
      </c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</row>
    <row r="37" ht="14.25" customHeight="1">
      <c r="A37" s="169">
        <v>5.0</v>
      </c>
      <c r="B37" s="89" t="s">
        <v>21</v>
      </c>
      <c r="C37" s="30" t="s">
        <v>67</v>
      </c>
      <c r="D37" s="89" t="s">
        <v>0</v>
      </c>
      <c r="E37" s="89">
        <v>52.0</v>
      </c>
      <c r="F37" s="89" t="s">
        <v>21</v>
      </c>
      <c r="G37" s="89" t="s">
        <v>5</v>
      </c>
      <c r="H37" s="181"/>
      <c r="I37" s="216" t="s">
        <v>20</v>
      </c>
      <c r="J37" s="218" t="s">
        <v>12</v>
      </c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</row>
    <row r="38" ht="14.25" customHeight="1">
      <c r="A38" s="169">
        <v>6.0</v>
      </c>
      <c r="B38" s="89" t="s">
        <v>257</v>
      </c>
      <c r="C38" s="30" t="s">
        <v>38</v>
      </c>
      <c r="D38" s="89" t="s">
        <v>257</v>
      </c>
      <c r="E38" s="89">
        <v>101.0</v>
      </c>
      <c r="F38" s="89" t="s">
        <v>18</v>
      </c>
      <c r="G38" s="89" t="s">
        <v>15</v>
      </c>
      <c r="H38" s="181"/>
      <c r="I38" s="216" t="s">
        <v>10</v>
      </c>
      <c r="J38" s="218" t="s">
        <v>15</v>
      </c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</row>
    <row r="39" ht="14.25" customHeight="1">
      <c r="A39" s="169">
        <v>7.0</v>
      </c>
      <c r="B39" s="89" t="s">
        <v>12</v>
      </c>
      <c r="C39" s="30" t="s">
        <v>342</v>
      </c>
      <c r="D39" s="89" t="s">
        <v>21</v>
      </c>
      <c r="E39" s="89" t="s">
        <v>343</v>
      </c>
      <c r="F39" s="89" t="s">
        <v>12</v>
      </c>
      <c r="G39" s="89" t="s">
        <v>11</v>
      </c>
      <c r="H39" s="181"/>
      <c r="I39" s="30"/>
      <c r="J39" s="181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</row>
    <row r="40" ht="14.25" customHeight="1">
      <c r="A40" s="169">
        <v>8.0</v>
      </c>
      <c r="B40" s="89" t="s">
        <v>15</v>
      </c>
      <c r="C40" s="30" t="s">
        <v>344</v>
      </c>
      <c r="D40" s="89" t="s">
        <v>11</v>
      </c>
      <c r="E40" s="89" t="s">
        <v>345</v>
      </c>
      <c r="F40" s="89" t="s">
        <v>15</v>
      </c>
      <c r="G40" s="89" t="s">
        <v>21</v>
      </c>
      <c r="H40" s="181"/>
      <c r="I40" s="30"/>
      <c r="J40" s="181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</row>
    <row r="41" ht="14.25" customHeight="1">
      <c r="A41" s="169">
        <v>9.0</v>
      </c>
      <c r="B41" s="89" t="s">
        <v>10</v>
      </c>
      <c r="C41" s="30" t="s">
        <v>346</v>
      </c>
      <c r="D41" s="89" t="s">
        <v>15</v>
      </c>
      <c r="E41" s="89" t="s">
        <v>347</v>
      </c>
      <c r="F41" s="89" t="s">
        <v>4</v>
      </c>
      <c r="G41" s="89" t="s">
        <v>10</v>
      </c>
      <c r="H41" s="181"/>
      <c r="I41" s="30"/>
      <c r="J41" s="181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</row>
    <row r="42" ht="14.25" customHeight="1">
      <c r="A42" s="169">
        <v>10.0</v>
      </c>
      <c r="B42" s="89" t="s">
        <v>4</v>
      </c>
      <c r="C42" s="30" t="s">
        <v>348</v>
      </c>
      <c r="D42" s="89" t="s">
        <v>283</v>
      </c>
      <c r="E42" s="89">
        <v>82.0</v>
      </c>
      <c r="F42" s="89" t="s">
        <v>0</v>
      </c>
      <c r="G42" s="89" t="s">
        <v>15</v>
      </c>
      <c r="H42" s="181"/>
      <c r="I42" s="30"/>
      <c r="J42" s="181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</row>
    <row r="43" ht="14.25" customHeight="1">
      <c r="A43" s="169">
        <v>11.0</v>
      </c>
      <c r="B43" s="89" t="s">
        <v>20</v>
      </c>
      <c r="C43" s="30" t="s">
        <v>349</v>
      </c>
      <c r="D43" s="89" t="s">
        <v>20</v>
      </c>
      <c r="E43" s="89">
        <v>164.0</v>
      </c>
      <c r="F43" s="89" t="s">
        <v>15</v>
      </c>
      <c r="G43" s="89" t="s">
        <v>283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</row>
    <row r="44" ht="14.25" customHeight="1">
      <c r="A44" s="169">
        <v>12.0</v>
      </c>
      <c r="B44" s="89" t="s">
        <v>5</v>
      </c>
      <c r="C44" s="30" t="s">
        <v>26</v>
      </c>
      <c r="D44" s="89" t="s">
        <v>26</v>
      </c>
      <c r="E44" s="89" t="s">
        <v>26</v>
      </c>
      <c r="F44" s="89" t="s">
        <v>26</v>
      </c>
      <c r="G44" s="89" t="s">
        <v>26</v>
      </c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</row>
    <row r="45" ht="14.25" customHeight="1">
      <c r="A45" s="169">
        <v>13.0</v>
      </c>
      <c r="B45" s="89" t="s">
        <v>18</v>
      </c>
      <c r="C45" s="30" t="s">
        <v>350</v>
      </c>
      <c r="D45" s="89" t="s">
        <v>18</v>
      </c>
      <c r="E45" s="89">
        <v>23.0</v>
      </c>
      <c r="F45" s="89" t="s">
        <v>0</v>
      </c>
      <c r="G45" s="89" t="s">
        <v>15</v>
      </c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</row>
    <row r="46" ht="14.25" customHeight="1">
      <c r="A46" s="169">
        <v>14.0</v>
      </c>
      <c r="B46" s="89" t="s">
        <v>283</v>
      </c>
      <c r="C46" s="30" t="s">
        <v>26</v>
      </c>
      <c r="D46" s="89" t="s">
        <v>26</v>
      </c>
      <c r="E46" s="89" t="s">
        <v>26</v>
      </c>
      <c r="F46" s="89" t="s">
        <v>26</v>
      </c>
      <c r="G46" s="89" t="s">
        <v>26</v>
      </c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</row>
    <row r="47" ht="14.25" customHeight="1">
      <c r="A47" s="169">
        <v>15.0</v>
      </c>
      <c r="B47" s="89" t="s">
        <v>10</v>
      </c>
      <c r="C47" s="30" t="s">
        <v>351</v>
      </c>
      <c r="D47" s="89" t="s">
        <v>15</v>
      </c>
      <c r="E47" s="89">
        <v>14.0</v>
      </c>
      <c r="F47" s="89" t="s">
        <v>352</v>
      </c>
      <c r="G47" s="89" t="s">
        <v>10</v>
      </c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</row>
    <row r="48" ht="14.25" customHeight="1">
      <c r="A48" s="169">
        <v>16.0</v>
      </c>
      <c r="B48" s="89" t="s">
        <v>21</v>
      </c>
      <c r="C48" s="30" t="s">
        <v>353</v>
      </c>
      <c r="D48" s="89" t="s">
        <v>11</v>
      </c>
      <c r="E48" s="89">
        <v>281.0</v>
      </c>
      <c r="F48" s="89" t="s">
        <v>12</v>
      </c>
      <c r="G48" s="89" t="s">
        <v>21</v>
      </c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</row>
    <row r="49" ht="14.25" customHeight="1">
      <c r="A49" s="169">
        <v>17.0</v>
      </c>
      <c r="B49" s="89" t="s">
        <v>18</v>
      </c>
      <c r="C49" s="30" t="s">
        <v>354</v>
      </c>
      <c r="D49" s="89" t="s">
        <v>18</v>
      </c>
      <c r="E49" s="89">
        <v>71.0</v>
      </c>
      <c r="F49" s="89" t="s">
        <v>167</v>
      </c>
      <c r="G49" s="89" t="s">
        <v>2</v>
      </c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</row>
    <row r="50" ht="14.25" customHeight="1">
      <c r="A50" s="169">
        <v>18.0</v>
      </c>
      <c r="B50" s="89" t="s">
        <v>12</v>
      </c>
      <c r="C50" s="30" t="s">
        <v>355</v>
      </c>
      <c r="D50" s="89" t="s">
        <v>21</v>
      </c>
      <c r="E50" s="89" t="s">
        <v>356</v>
      </c>
      <c r="F50" s="89" t="s">
        <v>12</v>
      </c>
      <c r="G50" s="89" t="s">
        <v>357</v>
      </c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</row>
    <row r="51" ht="14.25" customHeight="1">
      <c r="A51" s="169">
        <v>19.0</v>
      </c>
      <c r="B51" s="89" t="s">
        <v>167</v>
      </c>
      <c r="C51" s="30" t="s">
        <v>358</v>
      </c>
      <c r="D51" s="89" t="s">
        <v>0</v>
      </c>
      <c r="E51" s="89">
        <v>108.0</v>
      </c>
      <c r="F51" s="89" t="s">
        <v>18</v>
      </c>
      <c r="G51" s="89" t="s">
        <v>15</v>
      </c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</row>
    <row r="52" ht="14.25" customHeight="1">
      <c r="A52" s="169">
        <v>20.0</v>
      </c>
      <c r="B52" s="89" t="s">
        <v>283</v>
      </c>
      <c r="C52" s="30" t="s">
        <v>359</v>
      </c>
      <c r="D52" s="89" t="s">
        <v>2</v>
      </c>
      <c r="E52" s="89">
        <v>15.0</v>
      </c>
      <c r="F52" s="89" t="s">
        <v>283</v>
      </c>
      <c r="G52" s="89" t="s">
        <v>26</v>
      </c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</row>
    <row r="53" ht="14.25" customHeight="1">
      <c r="A53" s="169">
        <v>21.0</v>
      </c>
      <c r="B53" s="89" t="s">
        <v>360</v>
      </c>
      <c r="C53" s="30" t="s">
        <v>75</v>
      </c>
      <c r="D53" s="89" t="s">
        <v>361</v>
      </c>
      <c r="E53" s="89">
        <v>30.0</v>
      </c>
      <c r="F53" s="89" t="s">
        <v>361</v>
      </c>
      <c r="G53" s="89" t="s">
        <v>0</v>
      </c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</row>
    <row r="54" ht="14.25" customHeight="1">
      <c r="A54" s="169">
        <v>22.0</v>
      </c>
      <c r="B54" s="89" t="s">
        <v>257</v>
      </c>
      <c r="C54" s="30" t="s">
        <v>38</v>
      </c>
      <c r="D54" s="89" t="s">
        <v>10</v>
      </c>
      <c r="E54" s="89">
        <v>194.0</v>
      </c>
      <c r="F54" s="89" t="s">
        <v>2</v>
      </c>
      <c r="G54" s="89" t="s">
        <v>15</v>
      </c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</row>
    <row r="55" ht="14.25" customHeight="1">
      <c r="A55" s="169">
        <v>23.0</v>
      </c>
      <c r="B55" s="89" t="s">
        <v>11</v>
      </c>
      <c r="C55" s="30" t="s">
        <v>296</v>
      </c>
      <c r="D55" s="89" t="s">
        <v>11</v>
      </c>
      <c r="E55" s="89" t="s">
        <v>362</v>
      </c>
      <c r="F55" s="89" t="s">
        <v>2</v>
      </c>
      <c r="G55" s="89" t="s">
        <v>26</v>
      </c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</row>
    <row r="56" ht="14.25" customHeight="1">
      <c r="A56" s="89"/>
      <c r="B56" s="89"/>
      <c r="C56" s="30"/>
      <c r="D56" s="89"/>
      <c r="E56" s="89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</row>
    <row r="57" ht="14.25" customHeight="1">
      <c r="A57" s="89"/>
      <c r="B57" s="89"/>
      <c r="C57" s="30"/>
      <c r="D57" s="89"/>
      <c r="E57" s="89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</row>
    <row r="58" ht="14.2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</row>
    <row r="59" ht="14.2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</row>
    <row r="60" ht="14.2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</row>
    <row r="61" ht="14.2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</row>
    <row r="62" ht="14.2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</row>
    <row r="63" ht="14.2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</row>
    <row r="64" ht="14.2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</row>
    <row r="65" ht="14.2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</row>
    <row r="66" ht="14.2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</row>
    <row r="67" ht="14.2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</row>
    <row r="68" ht="14.2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</row>
    <row r="69" ht="14.2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</row>
    <row r="70" ht="14.2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</row>
    <row r="71" ht="14.2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</row>
    <row r="72" ht="14.2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</row>
    <row r="73" ht="14.2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</row>
    <row r="74" ht="14.2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</row>
    <row r="75" ht="14.2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</row>
    <row r="76" ht="14.2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</row>
    <row r="77" ht="14.2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</row>
    <row r="78" ht="14.2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</row>
    <row r="79" ht="14.2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</row>
    <row r="80" ht="14.2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</row>
    <row r="81" ht="14.2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</row>
    <row r="82" ht="14.2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</row>
    <row r="83" ht="14.2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</row>
    <row r="84" ht="14.2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</row>
    <row r="85" ht="14.2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</row>
    <row r="86" ht="14.2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</row>
    <row r="87" ht="14.2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</row>
    <row r="88" ht="14.2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</row>
    <row r="89" ht="14.2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</row>
    <row r="90" ht="14.2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</row>
    <row r="91" ht="14.2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</row>
    <row r="92" ht="14.2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</row>
    <row r="93" ht="14.2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</row>
    <row r="94" ht="14.2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</row>
    <row r="95" ht="14.2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</row>
    <row r="96" ht="14.2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</row>
    <row r="97" ht="14.2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</row>
    <row r="98" ht="14.2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</row>
    <row r="99" ht="14.2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</row>
    <row r="100" ht="14.2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</row>
    <row r="101" ht="14.2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</row>
    <row r="102" ht="14.2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</row>
    <row r="103" ht="14.2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</row>
    <row r="104" ht="14.2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</row>
    <row r="105" ht="14.2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</row>
    <row r="106" ht="14.2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</row>
    <row r="107" ht="14.2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</row>
    <row r="108" ht="14.2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</row>
    <row r="109" ht="14.2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</row>
    <row r="110" ht="14.2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</row>
    <row r="111" ht="14.2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</row>
    <row r="112" ht="14.2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</row>
    <row r="113" ht="14.2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</row>
    <row r="114" ht="14.2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</row>
    <row r="115" ht="14.2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</row>
    <row r="116" ht="14.2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</row>
    <row r="117" ht="14.2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</row>
    <row r="118" ht="14.2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</row>
    <row r="119" ht="14.2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</row>
    <row r="120" ht="14.2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</row>
    <row r="121" ht="14.2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</row>
    <row r="122" ht="14.2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</row>
    <row r="123" ht="14.2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</row>
    <row r="124" ht="14.2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</row>
    <row r="125" ht="14.2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</row>
    <row r="126" ht="14.2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</row>
    <row r="127" ht="14.2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</row>
    <row r="128" ht="14.2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</row>
    <row r="129" ht="14.2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</row>
    <row r="130" ht="14.2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</row>
    <row r="131" ht="14.2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</row>
    <row r="132" ht="14.2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</row>
    <row r="133" ht="14.2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</row>
    <row r="134" ht="14.2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</row>
    <row r="135" ht="14.2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</row>
    <row r="136" ht="14.2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</row>
    <row r="137" ht="14.2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</row>
    <row r="138" ht="14.2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</row>
    <row r="139" ht="14.2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</row>
    <row r="140" ht="14.2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</row>
    <row r="141" ht="14.2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</row>
    <row r="142" ht="14.2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</row>
    <row r="143" ht="14.2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</row>
    <row r="144" ht="14.2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</row>
    <row r="145" ht="14.2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</row>
    <row r="146" ht="14.2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</row>
    <row r="147" ht="14.2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</row>
    <row r="148" ht="14.2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</row>
    <row r="149" ht="14.2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</row>
    <row r="150" ht="14.2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</row>
    <row r="151" ht="14.2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</row>
    <row r="152" ht="14.2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</row>
    <row r="153" ht="14.2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</row>
    <row r="154" ht="14.2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</row>
    <row r="155" ht="14.2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</row>
    <row r="156" ht="14.2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</row>
    <row r="157" ht="14.2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</row>
    <row r="158" ht="14.2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</row>
    <row r="159" ht="14.2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</row>
    <row r="160" ht="14.2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</row>
    <row r="161" ht="14.2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</row>
    <row r="162" ht="14.2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</row>
    <row r="163" ht="14.2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</row>
    <row r="164" ht="14.2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</row>
    <row r="165" ht="14.2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</row>
    <row r="166" ht="14.2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</row>
    <row r="167" ht="14.2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</row>
    <row r="168" ht="14.2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</row>
    <row r="169" ht="14.2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</row>
    <row r="170" ht="14.2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</row>
    <row r="171" ht="14.2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</row>
    <row r="172" ht="14.2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</row>
    <row r="173" ht="14.2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</row>
    <row r="174" ht="14.2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</row>
    <row r="175" ht="14.2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</row>
    <row r="176" ht="14.2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</row>
    <row r="177" ht="14.2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</row>
    <row r="178" ht="14.2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</row>
    <row r="179" ht="14.2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</row>
    <row r="180" ht="14.2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</row>
    <row r="181" ht="14.2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</row>
    <row r="182" ht="14.2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</row>
    <row r="183" ht="14.2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</row>
    <row r="184" ht="14.2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</row>
    <row r="185" ht="14.2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</row>
    <row r="186" ht="14.2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</row>
    <row r="187" ht="14.2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</row>
    <row r="188" ht="14.2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</row>
    <row r="189" ht="14.2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</row>
    <row r="190" ht="14.2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</row>
    <row r="191" ht="14.2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</row>
    <row r="192" ht="14.2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</row>
    <row r="193" ht="14.2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</row>
    <row r="194" ht="14.2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</row>
    <row r="195" ht="14.2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</row>
    <row r="196" ht="14.2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</row>
    <row r="197" ht="14.2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</row>
    <row r="198" ht="14.2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</row>
    <row r="199" ht="14.2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</row>
    <row r="200" ht="14.2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</row>
    <row r="201" ht="14.2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</row>
    <row r="202" ht="14.2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</row>
    <row r="203" ht="14.2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</row>
    <row r="204" ht="14.2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</row>
    <row r="205" ht="14.2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</row>
    <row r="206" ht="14.2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</row>
    <row r="207" ht="14.2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</row>
    <row r="208" ht="14.2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</row>
    <row r="209" ht="14.2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</row>
    <row r="210" ht="14.2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</row>
    <row r="211" ht="14.2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</row>
    <row r="212" ht="14.2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</row>
    <row r="213" ht="14.2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</row>
    <row r="214" ht="14.2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</row>
    <row r="215" ht="14.2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</row>
    <row r="216" ht="14.2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</row>
    <row r="217" ht="14.2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</row>
    <row r="218" ht="14.2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</row>
    <row r="219" ht="14.2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</row>
    <row r="220" ht="14.2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</row>
    <row r="221" ht="14.2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</row>
    <row r="222" ht="14.2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</row>
    <row r="223" ht="14.2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</row>
    <row r="224" ht="14.2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</row>
    <row r="225" ht="14.2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</row>
    <row r="226" ht="14.2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</row>
    <row r="227" ht="14.2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</row>
    <row r="228" ht="14.2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8:N28">
    <cfRule type="cellIs" dxfId="2" priority="1" operator="greaterThanOrEqual">
      <formula>8</formula>
    </cfRule>
  </conditionalFormatting>
  <conditionalFormatting sqref="B28:N28">
    <cfRule type="cellIs" dxfId="3" priority="2" operator="lessThan">
      <formula>7</formula>
    </cfRule>
  </conditionalFormatting>
  <printOptions/>
  <pageMargins bottom="0.787401575" footer="0.0" header="0.0" left="0.7" right="0.7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7.25"/>
    <col customWidth="1" min="3" max="3" width="7.0"/>
    <col customWidth="1" min="4" max="4" width="6.0"/>
    <col customWidth="1" min="5" max="5" width="5.75"/>
    <col customWidth="1" min="6" max="6" width="7.0"/>
    <col customWidth="1" min="7" max="7" width="6.25"/>
    <col customWidth="1" min="8" max="9" width="7.25"/>
    <col customWidth="1" min="10" max="10" width="8.13"/>
    <col customWidth="1" min="11" max="11" width="8.75"/>
    <col customWidth="1" min="12" max="12" width="8.0"/>
    <col customWidth="1" min="13" max="13" width="7.0"/>
    <col customWidth="1" min="14" max="14" width="8.0"/>
    <col customWidth="1" min="15" max="15" width="6.0"/>
    <col customWidth="1" min="16" max="16" width="7.25"/>
    <col customWidth="1" min="17" max="21" width="8.75"/>
    <col customWidth="1" min="22" max="22" width="2.75"/>
    <col customWidth="1" min="23" max="23" width="2.63"/>
    <col customWidth="1" min="24" max="24" width="19.13"/>
    <col customWidth="1" min="25" max="27" width="14.38"/>
  </cols>
  <sheetData>
    <row r="1" ht="14.25" customHeight="1">
      <c r="A1" s="51"/>
      <c r="B1" s="51" t="s">
        <v>167</v>
      </c>
      <c r="C1" s="51" t="s">
        <v>11</v>
      </c>
      <c r="D1" s="51" t="s">
        <v>2</v>
      </c>
      <c r="E1" s="51" t="s">
        <v>363</v>
      </c>
      <c r="F1" s="51" t="s">
        <v>364</v>
      </c>
      <c r="G1" s="51" t="s">
        <v>21</v>
      </c>
      <c r="H1" s="51" t="s">
        <v>257</v>
      </c>
      <c r="I1" s="51" t="s">
        <v>12</v>
      </c>
      <c r="J1" s="51" t="s">
        <v>15</v>
      </c>
      <c r="K1" s="51" t="s">
        <v>9</v>
      </c>
      <c r="L1" s="51" t="s">
        <v>10</v>
      </c>
      <c r="M1" s="51" t="s">
        <v>4</v>
      </c>
      <c r="N1" s="51" t="s">
        <v>365</v>
      </c>
      <c r="O1" s="51" t="s">
        <v>20</v>
      </c>
      <c r="P1" s="51" t="s">
        <v>366</v>
      </c>
      <c r="Q1" s="51" t="s">
        <v>367</v>
      </c>
      <c r="R1" s="51" t="s">
        <v>368</v>
      </c>
      <c r="S1" s="51" t="s">
        <v>5</v>
      </c>
      <c r="T1" s="51" t="s">
        <v>369</v>
      </c>
      <c r="U1" s="51" t="s">
        <v>18</v>
      </c>
      <c r="V1" s="30"/>
      <c r="W1" s="30"/>
      <c r="X1" s="30"/>
    </row>
    <row r="2" ht="14.25" customHeight="1">
      <c r="A2" s="169">
        <v>1.0</v>
      </c>
      <c r="B2" s="30">
        <v>167.5</v>
      </c>
      <c r="C2" s="30">
        <v>183.0</v>
      </c>
      <c r="D2" s="30">
        <v>395.5</v>
      </c>
      <c r="E2" s="30">
        <v>198.0</v>
      </c>
      <c r="F2" s="30">
        <v>111.0</v>
      </c>
      <c r="G2" s="30">
        <v>101.5</v>
      </c>
      <c r="H2" s="30">
        <v>174.0</v>
      </c>
      <c r="I2" s="30">
        <v>128.7</v>
      </c>
      <c r="J2" s="30">
        <v>111.5</v>
      </c>
      <c r="K2" s="30">
        <v>101.5</v>
      </c>
      <c r="L2" s="30">
        <v>165.0</v>
      </c>
      <c r="M2" s="30">
        <v>213.5</v>
      </c>
      <c r="N2" s="30">
        <v>233.2</v>
      </c>
      <c r="O2" s="30">
        <v>108.0</v>
      </c>
      <c r="P2" s="30">
        <v>103.5</v>
      </c>
      <c r="Q2" s="30">
        <v>101.0</v>
      </c>
      <c r="R2" s="30">
        <v>122.0</v>
      </c>
      <c r="S2" s="30" t="s">
        <v>26</v>
      </c>
      <c r="T2" s="30" t="s">
        <v>26</v>
      </c>
      <c r="U2" s="30" t="s">
        <v>26</v>
      </c>
      <c r="V2" s="30"/>
      <c r="W2" s="30"/>
      <c r="X2" s="30"/>
    </row>
    <row r="3" ht="14.25" customHeight="1">
      <c r="A3" s="169">
        <v>2.0</v>
      </c>
      <c r="B3" s="30">
        <v>100.5</v>
      </c>
      <c r="C3" s="30">
        <v>102.0</v>
      </c>
      <c r="D3" s="30">
        <v>250.5</v>
      </c>
      <c r="E3" s="30">
        <v>111.0</v>
      </c>
      <c r="F3" s="30">
        <v>112.0</v>
      </c>
      <c r="G3" s="30">
        <v>101.5</v>
      </c>
      <c r="H3" s="30">
        <v>103.5</v>
      </c>
      <c r="I3" s="30">
        <v>159.8</v>
      </c>
      <c r="J3" s="30">
        <v>127.3</v>
      </c>
      <c r="K3" s="30">
        <v>107.0</v>
      </c>
      <c r="L3" s="64">
        <v>100.25</v>
      </c>
      <c r="M3" s="219">
        <v>106.25</v>
      </c>
      <c r="N3" s="30">
        <v>275.1</v>
      </c>
      <c r="O3" s="184">
        <v>49.5</v>
      </c>
      <c r="P3" s="30">
        <v>103.0</v>
      </c>
      <c r="Q3" s="30">
        <v>112.5</v>
      </c>
      <c r="R3" s="64">
        <v>102.0</v>
      </c>
      <c r="S3" s="30" t="s">
        <v>26</v>
      </c>
      <c r="T3" s="30" t="s">
        <v>26</v>
      </c>
      <c r="U3" s="30" t="s">
        <v>26</v>
      </c>
      <c r="V3" s="30"/>
      <c r="W3" s="30"/>
      <c r="X3" s="30"/>
    </row>
    <row r="4" ht="14.25" customHeight="1">
      <c r="A4" s="169">
        <v>3.0</v>
      </c>
      <c r="B4" s="30">
        <v>101.5</v>
      </c>
      <c r="C4" s="30">
        <v>155.0</v>
      </c>
      <c r="D4" s="220">
        <v>88.0</v>
      </c>
      <c r="E4" s="30">
        <v>110.0</v>
      </c>
      <c r="F4" s="30">
        <v>110.0</v>
      </c>
      <c r="G4" s="30">
        <v>135.0</v>
      </c>
      <c r="H4" s="62">
        <v>48.0</v>
      </c>
      <c r="I4" s="30">
        <v>110.0</v>
      </c>
      <c r="J4" s="30">
        <v>139.5</v>
      </c>
      <c r="K4" s="30">
        <v>108.0</v>
      </c>
      <c r="L4" s="30">
        <v>125.0</v>
      </c>
      <c r="M4" s="64">
        <v>136.5</v>
      </c>
      <c r="N4" s="30">
        <v>169.7</v>
      </c>
      <c r="O4" s="221">
        <v>0.0</v>
      </c>
      <c r="P4" s="30">
        <v>101.0</v>
      </c>
      <c r="Q4" s="30">
        <v>138.0</v>
      </c>
      <c r="R4" s="30">
        <v>105.0</v>
      </c>
      <c r="S4" s="30" t="s">
        <v>26</v>
      </c>
      <c r="T4" s="30" t="s">
        <v>26</v>
      </c>
      <c r="U4" s="30" t="s">
        <v>26</v>
      </c>
      <c r="V4" s="30"/>
      <c r="W4" s="30"/>
      <c r="X4" s="30"/>
    </row>
    <row r="5" ht="14.25" customHeight="1">
      <c r="A5" s="169">
        <v>4.0</v>
      </c>
      <c r="B5" s="30">
        <v>114.0</v>
      </c>
      <c r="C5" s="64">
        <v>100.5</v>
      </c>
      <c r="D5" s="30">
        <v>162.0</v>
      </c>
      <c r="E5" s="220">
        <v>0.0</v>
      </c>
      <c r="F5" s="219">
        <v>103.5</v>
      </c>
      <c r="G5" s="30">
        <v>132.0</v>
      </c>
      <c r="H5" s="30">
        <v>102.0</v>
      </c>
      <c r="I5" s="220">
        <v>0.0</v>
      </c>
      <c r="J5" s="222">
        <v>9.6</v>
      </c>
      <c r="K5" s="30">
        <v>105.0</v>
      </c>
      <c r="L5" s="30">
        <v>156.5</v>
      </c>
      <c r="M5" s="64">
        <v>155.0</v>
      </c>
      <c r="N5" s="222">
        <v>39.65</v>
      </c>
      <c r="O5" s="223">
        <v>31.0</v>
      </c>
      <c r="P5" s="62">
        <v>68.5</v>
      </c>
      <c r="Q5" s="30">
        <v>119.0</v>
      </c>
      <c r="R5" s="30">
        <v>108.0</v>
      </c>
      <c r="S5" s="30" t="s">
        <v>26</v>
      </c>
      <c r="T5" s="30" t="s">
        <v>26</v>
      </c>
      <c r="U5" s="30" t="s">
        <v>26</v>
      </c>
      <c r="V5" s="30"/>
      <c r="W5" s="30"/>
      <c r="X5" s="30"/>
    </row>
    <row r="6" ht="14.25" customHeight="1">
      <c r="A6" s="169">
        <v>5.0</v>
      </c>
      <c r="B6" s="30">
        <v>157.5</v>
      </c>
      <c r="C6" s="30">
        <v>163.5</v>
      </c>
      <c r="D6" s="220">
        <v>74.0</v>
      </c>
      <c r="E6" s="30">
        <v>102.0</v>
      </c>
      <c r="F6" s="30">
        <v>130.0</v>
      </c>
      <c r="G6" s="30">
        <v>102.0</v>
      </c>
      <c r="H6" s="220">
        <v>0.0</v>
      </c>
      <c r="I6" s="30">
        <v>101.0</v>
      </c>
      <c r="J6" s="64">
        <v>105.0</v>
      </c>
      <c r="K6" s="30">
        <v>100.5</v>
      </c>
      <c r="L6" s="30">
        <v>213.0</v>
      </c>
      <c r="M6" s="30">
        <v>247.25</v>
      </c>
      <c r="N6" s="30">
        <v>196.7</v>
      </c>
      <c r="O6" s="30">
        <v>114.0</v>
      </c>
      <c r="P6" s="184">
        <v>6.0</v>
      </c>
      <c r="Q6" s="222">
        <v>0.0</v>
      </c>
      <c r="R6" s="222">
        <v>0.0</v>
      </c>
      <c r="S6" s="30" t="s">
        <v>26</v>
      </c>
      <c r="T6" s="30" t="s">
        <v>26</v>
      </c>
      <c r="U6" s="30" t="s">
        <v>26</v>
      </c>
      <c r="V6" s="30"/>
      <c r="W6" s="30"/>
      <c r="X6" s="30"/>
    </row>
    <row r="7" ht="14.25" customHeight="1">
      <c r="A7" s="169">
        <v>6.0</v>
      </c>
      <c r="B7" s="30">
        <v>176.5</v>
      </c>
      <c r="C7" s="30">
        <v>154.5</v>
      </c>
      <c r="D7" s="30">
        <v>244.0</v>
      </c>
      <c r="E7" s="30">
        <v>103.0</v>
      </c>
      <c r="F7" s="30">
        <v>104.0</v>
      </c>
      <c r="G7" s="30">
        <v>136.5</v>
      </c>
      <c r="H7" s="30">
        <v>101.0</v>
      </c>
      <c r="I7" s="30">
        <v>103.0</v>
      </c>
      <c r="J7" s="30">
        <v>184.1</v>
      </c>
      <c r="K7" s="30">
        <v>109.5</v>
      </c>
      <c r="L7" s="30">
        <v>173.0</v>
      </c>
      <c r="M7" s="30">
        <v>208.0</v>
      </c>
      <c r="N7" s="64">
        <v>148.45</v>
      </c>
      <c r="O7" s="30">
        <v>121.0</v>
      </c>
      <c r="P7" s="62">
        <v>60.0</v>
      </c>
      <c r="Q7" s="30">
        <v>104.0</v>
      </c>
      <c r="R7" s="30">
        <v>110.0</v>
      </c>
      <c r="S7" s="30" t="s">
        <v>26</v>
      </c>
      <c r="T7" s="30" t="s">
        <v>26</v>
      </c>
      <c r="U7" s="30" t="s">
        <v>26</v>
      </c>
      <c r="V7" s="30"/>
      <c r="W7" s="30"/>
      <c r="X7" s="30"/>
    </row>
    <row r="8" ht="14.25" customHeight="1">
      <c r="A8" s="169">
        <v>7.0</v>
      </c>
      <c r="B8" s="30">
        <v>103.5</v>
      </c>
      <c r="C8" s="30">
        <v>128.5</v>
      </c>
      <c r="D8" s="30">
        <v>337.0</v>
      </c>
      <c r="E8" s="30">
        <v>104.0</v>
      </c>
      <c r="F8" s="30">
        <v>105.0</v>
      </c>
      <c r="G8" s="30">
        <v>101.0</v>
      </c>
      <c r="H8" s="62">
        <v>47.0</v>
      </c>
      <c r="I8" s="30">
        <v>208.2</v>
      </c>
      <c r="J8" s="30">
        <v>213.0</v>
      </c>
      <c r="K8" s="220">
        <v>0.0</v>
      </c>
      <c r="L8" s="30">
        <v>158.0</v>
      </c>
      <c r="M8" s="30">
        <v>191.0</v>
      </c>
      <c r="N8" s="30">
        <v>237.4</v>
      </c>
      <c r="O8" s="30">
        <v>101.0</v>
      </c>
      <c r="P8" s="30">
        <v>112.9</v>
      </c>
      <c r="Q8" s="224">
        <v>0.0</v>
      </c>
      <c r="R8" s="224">
        <v>0.0</v>
      </c>
      <c r="S8" s="30" t="s">
        <v>26</v>
      </c>
      <c r="T8" s="30" t="s">
        <v>26</v>
      </c>
      <c r="U8" s="30" t="s">
        <v>26</v>
      </c>
      <c r="V8" s="30"/>
      <c r="W8" s="30"/>
      <c r="X8" s="30"/>
    </row>
    <row r="9" ht="14.25" customHeight="1">
      <c r="A9" s="169">
        <v>8.0</v>
      </c>
      <c r="B9" s="30">
        <v>246.5</v>
      </c>
      <c r="C9" s="30">
        <v>177.0</v>
      </c>
      <c r="D9" s="30">
        <v>271.0</v>
      </c>
      <c r="E9" s="30">
        <v>142.0</v>
      </c>
      <c r="F9" s="30">
        <v>125.0</v>
      </c>
      <c r="G9" s="30">
        <v>150.0</v>
      </c>
      <c r="H9" s="30">
        <v>100.0</v>
      </c>
      <c r="I9" s="30">
        <v>232.3</v>
      </c>
      <c r="J9" s="30">
        <v>121.6</v>
      </c>
      <c r="K9" s="30">
        <v>101.5</v>
      </c>
      <c r="L9" s="30">
        <v>196.5</v>
      </c>
      <c r="M9" s="30">
        <v>325.75</v>
      </c>
      <c r="N9" s="64">
        <v>122.69999999999999</v>
      </c>
      <c r="O9" s="30">
        <v>101.0</v>
      </c>
      <c r="P9" s="30">
        <v>100.5</v>
      </c>
      <c r="Q9" s="30">
        <v>113.0</v>
      </c>
      <c r="R9" s="30">
        <v>103.0</v>
      </c>
      <c r="S9" s="30" t="s">
        <v>26</v>
      </c>
      <c r="T9" s="30" t="s">
        <v>26</v>
      </c>
      <c r="U9" s="30" t="s">
        <v>26</v>
      </c>
      <c r="V9" s="30"/>
      <c r="W9" s="30"/>
      <c r="X9" s="30"/>
    </row>
    <row r="10" ht="14.25" customHeight="1">
      <c r="A10" s="169">
        <v>9.0</v>
      </c>
      <c r="B10" s="30">
        <v>139.0</v>
      </c>
      <c r="C10" s="220">
        <v>37.5</v>
      </c>
      <c r="D10" s="30">
        <v>187.0</v>
      </c>
      <c r="E10" s="30">
        <v>145.0</v>
      </c>
      <c r="F10" s="64">
        <v>101.0</v>
      </c>
      <c r="G10" s="222">
        <v>36.0</v>
      </c>
      <c r="H10" s="62">
        <v>60.0</v>
      </c>
      <c r="I10" s="30">
        <v>123.0</v>
      </c>
      <c r="J10" s="30">
        <v>165.1</v>
      </c>
      <c r="K10" s="220">
        <v>0.0</v>
      </c>
      <c r="L10" s="30">
        <v>164.0</v>
      </c>
      <c r="M10" s="30">
        <v>192.25</v>
      </c>
      <c r="N10" s="30">
        <v>234.14999999999998</v>
      </c>
      <c r="O10" s="30">
        <v>110.0</v>
      </c>
      <c r="P10" s="59">
        <v>93.0</v>
      </c>
      <c r="Q10" s="30">
        <v>110.0</v>
      </c>
      <c r="R10" s="30">
        <v>126.0</v>
      </c>
      <c r="S10" s="30" t="s">
        <v>26</v>
      </c>
      <c r="T10" s="30" t="s">
        <v>26</v>
      </c>
      <c r="U10" s="30" t="s">
        <v>26</v>
      </c>
      <c r="V10" s="30"/>
      <c r="W10" s="30"/>
      <c r="X10" s="30"/>
    </row>
    <row r="11" ht="14.25" customHeight="1">
      <c r="A11" s="169">
        <v>10.0</v>
      </c>
      <c r="B11" s="30">
        <v>135.0</v>
      </c>
      <c r="C11" s="30">
        <v>152.0</v>
      </c>
      <c r="D11" s="64">
        <v>124.0</v>
      </c>
      <c r="E11" s="222">
        <v>0.0</v>
      </c>
      <c r="F11" s="30">
        <v>105.0</v>
      </c>
      <c r="G11" s="220">
        <v>0.0</v>
      </c>
      <c r="H11" s="30">
        <v>125.0</v>
      </c>
      <c r="I11" s="30">
        <v>130.5</v>
      </c>
      <c r="J11" s="64">
        <v>102.8</v>
      </c>
      <c r="K11" s="184">
        <v>45.0</v>
      </c>
      <c r="L11" s="30">
        <v>168.5</v>
      </c>
      <c r="M11" s="30">
        <v>330.0</v>
      </c>
      <c r="N11" s="30">
        <v>413.08000000000004</v>
      </c>
      <c r="O11" s="30">
        <v>101.5</v>
      </c>
      <c r="P11" s="30">
        <v>102.0</v>
      </c>
      <c r="Q11" s="30">
        <v>132.0</v>
      </c>
      <c r="R11" s="30">
        <v>120.0</v>
      </c>
      <c r="S11" s="30" t="s">
        <v>26</v>
      </c>
      <c r="T11" s="30" t="s">
        <v>26</v>
      </c>
      <c r="U11" s="30" t="s">
        <v>26</v>
      </c>
      <c r="V11" s="30"/>
      <c r="W11" s="30"/>
      <c r="X11" s="30"/>
    </row>
    <row r="12" ht="14.25" customHeight="1">
      <c r="A12" s="169">
        <v>11.0</v>
      </c>
      <c r="B12" s="30">
        <v>169.5</v>
      </c>
      <c r="C12" s="30">
        <v>240.5</v>
      </c>
      <c r="D12" s="30">
        <v>479.0</v>
      </c>
      <c r="E12" s="30">
        <v>111.0</v>
      </c>
      <c r="F12" s="30">
        <v>120.5</v>
      </c>
      <c r="G12" s="184">
        <v>70.0</v>
      </c>
      <c r="H12" s="30">
        <v>110.5</v>
      </c>
      <c r="I12" s="30">
        <v>131.5</v>
      </c>
      <c r="J12" s="30">
        <v>108.36</v>
      </c>
      <c r="K12" s="30">
        <v>101.0</v>
      </c>
      <c r="L12" s="30">
        <v>125.0</v>
      </c>
      <c r="M12" s="30">
        <v>179.4</v>
      </c>
      <c r="N12" s="30">
        <v>433.98</v>
      </c>
      <c r="O12" s="30">
        <v>172.5</v>
      </c>
      <c r="P12" s="30">
        <v>103.0</v>
      </c>
      <c r="Q12" s="30">
        <v>117.0</v>
      </c>
      <c r="R12" s="30">
        <v>135.0</v>
      </c>
      <c r="S12" s="30" t="s">
        <v>26</v>
      </c>
      <c r="T12" s="30" t="s">
        <v>26</v>
      </c>
      <c r="U12" s="30" t="s">
        <v>26</v>
      </c>
      <c r="V12" s="30"/>
      <c r="W12" s="30"/>
      <c r="X12" s="30"/>
    </row>
    <row r="13" ht="14.25" customHeight="1">
      <c r="A13" s="169">
        <v>12.0</v>
      </c>
      <c r="B13" s="30">
        <v>130.0</v>
      </c>
      <c r="C13" s="30">
        <v>106.5</v>
      </c>
      <c r="D13" s="30">
        <v>185.5</v>
      </c>
      <c r="E13" s="30">
        <v>105.0</v>
      </c>
      <c r="F13" s="30">
        <v>115.5</v>
      </c>
      <c r="G13" s="220">
        <v>0.0</v>
      </c>
      <c r="H13" s="222">
        <v>0.0</v>
      </c>
      <c r="I13" s="219">
        <v>100.5</v>
      </c>
      <c r="J13" s="30">
        <v>117.80000000000001</v>
      </c>
      <c r="K13" s="30">
        <v>101.5</v>
      </c>
      <c r="L13" s="220">
        <v>77.0</v>
      </c>
      <c r="M13" s="30">
        <v>278.5</v>
      </c>
      <c r="N13" s="30">
        <v>271.15</v>
      </c>
      <c r="O13" s="30">
        <v>157.5</v>
      </c>
      <c r="P13" s="30">
        <v>107.0</v>
      </c>
      <c r="Q13" s="30">
        <v>115.0</v>
      </c>
      <c r="R13" s="30">
        <v>150.0</v>
      </c>
      <c r="S13" s="30" t="s">
        <v>26</v>
      </c>
      <c r="T13" s="30" t="s">
        <v>26</v>
      </c>
      <c r="U13" s="30" t="s">
        <v>26</v>
      </c>
      <c r="V13" s="30"/>
      <c r="W13" s="30"/>
      <c r="X13" s="30"/>
    </row>
    <row r="14" ht="14.25" customHeight="1">
      <c r="A14" s="169">
        <v>13.0</v>
      </c>
      <c r="B14" s="223">
        <v>74.0</v>
      </c>
      <c r="C14" s="225">
        <v>35.0</v>
      </c>
      <c r="D14" s="30">
        <v>344.0</v>
      </c>
      <c r="E14" s="30">
        <v>158.0</v>
      </c>
      <c r="F14" s="30">
        <v>151.5</v>
      </c>
      <c r="G14" s="62">
        <v>60.0</v>
      </c>
      <c r="H14" s="59">
        <v>71.0</v>
      </c>
      <c r="I14" s="30">
        <v>125.0</v>
      </c>
      <c r="J14" s="30">
        <v>146.6</v>
      </c>
      <c r="K14" s="30">
        <v>118.0</v>
      </c>
      <c r="L14" s="30">
        <v>288.5</v>
      </c>
      <c r="M14" s="30">
        <v>406.75</v>
      </c>
      <c r="N14" s="30">
        <v>332.5</v>
      </c>
      <c r="O14" s="30">
        <v>115.0</v>
      </c>
      <c r="P14" s="59">
        <v>73.5</v>
      </c>
      <c r="Q14" s="30">
        <v>133.0</v>
      </c>
      <c r="R14" s="30">
        <v>120.0</v>
      </c>
      <c r="S14" s="30" t="s">
        <v>26</v>
      </c>
      <c r="T14" s="30" t="s">
        <v>26</v>
      </c>
      <c r="U14" s="30" t="s">
        <v>26</v>
      </c>
      <c r="V14" s="30"/>
      <c r="W14" s="30"/>
      <c r="X14" s="30"/>
    </row>
    <row r="15" ht="14.25" customHeight="1">
      <c r="A15" s="169">
        <v>14.0</v>
      </c>
      <c r="B15" s="30">
        <v>101.5</v>
      </c>
      <c r="C15" s="30">
        <v>136.0</v>
      </c>
      <c r="D15" s="30">
        <v>511.0</v>
      </c>
      <c r="E15" s="30">
        <v>150.0</v>
      </c>
      <c r="F15" s="30">
        <v>167.0</v>
      </c>
      <c r="G15" s="62">
        <v>55.0</v>
      </c>
      <c r="H15" s="184">
        <v>30.0</v>
      </c>
      <c r="I15" s="64">
        <v>100.5</v>
      </c>
      <c r="J15" s="30">
        <v>115.70000000000002</v>
      </c>
      <c r="K15" s="30">
        <v>101.5</v>
      </c>
      <c r="L15" s="30">
        <v>167.25</v>
      </c>
      <c r="M15" s="30">
        <v>295.25</v>
      </c>
      <c r="N15" s="30">
        <v>336.53</v>
      </c>
      <c r="O15" s="30">
        <v>87.0</v>
      </c>
      <c r="P15" s="59">
        <v>18.0</v>
      </c>
      <c r="Q15" s="30">
        <v>122.0</v>
      </c>
      <c r="R15" s="30">
        <v>150.0</v>
      </c>
      <c r="S15" s="30" t="s">
        <v>26</v>
      </c>
      <c r="T15" s="30" t="s">
        <v>26</v>
      </c>
      <c r="U15" s="30" t="s">
        <v>26</v>
      </c>
      <c r="V15" s="30"/>
      <c r="W15" s="30"/>
      <c r="X15" s="30"/>
    </row>
    <row r="16" ht="14.25" customHeight="1">
      <c r="A16" s="169">
        <v>15.0</v>
      </c>
      <c r="B16" s="30">
        <v>175.0</v>
      </c>
      <c r="C16" s="30">
        <v>183.5</v>
      </c>
      <c r="D16" s="30">
        <v>258.5</v>
      </c>
      <c r="E16" s="30">
        <v>133.0</v>
      </c>
      <c r="F16" s="30">
        <v>319.0</v>
      </c>
      <c r="G16" s="30">
        <v>117.5</v>
      </c>
      <c r="H16" s="59">
        <v>30.0</v>
      </c>
      <c r="I16" s="30">
        <v>121.4</v>
      </c>
      <c r="J16" s="30">
        <v>251.1</v>
      </c>
      <c r="K16" s="30">
        <v>100.0</v>
      </c>
      <c r="L16" s="30">
        <v>151.0</v>
      </c>
      <c r="M16" s="30">
        <v>169.5</v>
      </c>
      <c r="N16" s="30">
        <v>252.23000000000002</v>
      </c>
      <c r="O16" s="30">
        <v>174.0</v>
      </c>
      <c r="P16" s="30">
        <v>111.0</v>
      </c>
      <c r="Q16" s="30">
        <v>119.5</v>
      </c>
      <c r="R16" s="30">
        <v>150.0</v>
      </c>
      <c r="S16" s="30">
        <v>135.0</v>
      </c>
      <c r="T16" s="30">
        <v>100.5</v>
      </c>
      <c r="U16" s="30" t="s">
        <v>26</v>
      </c>
      <c r="V16" s="30"/>
      <c r="W16" s="30"/>
      <c r="X16" s="30"/>
    </row>
    <row r="17" ht="14.25" customHeight="1">
      <c r="A17" s="169">
        <v>16.0</v>
      </c>
      <c r="B17" s="30">
        <v>140.0</v>
      </c>
      <c r="C17" s="30">
        <v>286.5</v>
      </c>
      <c r="D17" s="30">
        <v>236.0</v>
      </c>
      <c r="E17" s="30">
        <v>123.0</v>
      </c>
      <c r="F17" s="30">
        <v>118.0</v>
      </c>
      <c r="G17" s="30">
        <v>126.0</v>
      </c>
      <c r="H17" s="59">
        <v>86.5</v>
      </c>
      <c r="I17" s="30">
        <v>150.5</v>
      </c>
      <c r="J17" s="30">
        <v>218.1</v>
      </c>
      <c r="K17" s="30">
        <v>101.5</v>
      </c>
      <c r="L17" s="30">
        <v>196.8</v>
      </c>
      <c r="M17" s="30">
        <v>262.0</v>
      </c>
      <c r="N17" s="30">
        <v>245.7</v>
      </c>
      <c r="O17" s="184">
        <v>33.0</v>
      </c>
      <c r="P17" s="184">
        <v>47.0</v>
      </c>
      <c r="Q17" s="30">
        <v>105.0</v>
      </c>
      <c r="R17" s="30">
        <v>120.0</v>
      </c>
      <c r="S17" s="30">
        <v>124.0</v>
      </c>
      <c r="T17" s="30">
        <v>100.5</v>
      </c>
      <c r="U17" s="30">
        <v>102.3</v>
      </c>
      <c r="V17" s="30"/>
      <c r="W17" s="30"/>
      <c r="X17" s="30"/>
    </row>
    <row r="18" ht="14.25" customHeight="1">
      <c r="A18" s="169">
        <v>17.0</v>
      </c>
      <c r="B18" s="30">
        <v>252.5</v>
      </c>
      <c r="C18" s="30">
        <v>144.0</v>
      </c>
      <c r="D18" s="30">
        <v>386.0</v>
      </c>
      <c r="E18" s="30">
        <v>144.5</v>
      </c>
      <c r="F18" s="30">
        <v>115.0</v>
      </c>
      <c r="G18" s="30">
        <v>133.5</v>
      </c>
      <c r="H18" s="59">
        <v>84.0</v>
      </c>
      <c r="I18" s="30">
        <v>103.0</v>
      </c>
      <c r="J18" s="30">
        <v>132.4</v>
      </c>
      <c r="K18" s="220">
        <v>0.0</v>
      </c>
      <c r="L18" s="30">
        <v>223.0</v>
      </c>
      <c r="M18" s="30">
        <v>272.15</v>
      </c>
      <c r="N18" s="30">
        <v>383.4</v>
      </c>
      <c r="O18" s="30">
        <v>101.0</v>
      </c>
      <c r="P18" s="30">
        <v>102.5</v>
      </c>
      <c r="Q18" s="30">
        <v>243.0</v>
      </c>
      <c r="R18" s="64">
        <v>180.0</v>
      </c>
      <c r="S18" s="30">
        <v>124.0</v>
      </c>
      <c r="T18" s="30">
        <v>100.5</v>
      </c>
      <c r="U18" s="30">
        <v>122.2</v>
      </c>
      <c r="V18" s="30"/>
      <c r="W18" s="30"/>
      <c r="X18" s="30"/>
    </row>
    <row r="19" ht="14.25" customHeight="1">
      <c r="A19" s="169">
        <v>18.0</v>
      </c>
      <c r="B19" s="30">
        <v>140.5</v>
      </c>
      <c r="C19" s="30">
        <v>146.5</v>
      </c>
      <c r="D19" s="30">
        <v>386.0</v>
      </c>
      <c r="E19" s="30">
        <v>197.0</v>
      </c>
      <c r="F19" s="30">
        <v>140.0</v>
      </c>
      <c r="G19" s="30">
        <v>101.0</v>
      </c>
      <c r="H19" s="30">
        <v>101.0</v>
      </c>
      <c r="I19" s="30">
        <v>201.0</v>
      </c>
      <c r="J19" s="30">
        <v>141.9</v>
      </c>
      <c r="K19" s="59">
        <v>0.0</v>
      </c>
      <c r="L19" s="30">
        <v>167.0</v>
      </c>
      <c r="M19" s="30">
        <v>328.87</v>
      </c>
      <c r="N19" s="30">
        <v>361.3</v>
      </c>
      <c r="O19" s="30">
        <v>96.5</v>
      </c>
      <c r="P19" s="59">
        <v>68.0</v>
      </c>
      <c r="Q19" s="30">
        <v>115.5</v>
      </c>
      <c r="R19" s="30">
        <v>150.0</v>
      </c>
      <c r="S19" s="30">
        <v>217.5</v>
      </c>
      <c r="T19" s="30">
        <v>100.5</v>
      </c>
      <c r="U19" s="30">
        <v>121.8</v>
      </c>
      <c r="V19" s="30"/>
      <c r="W19" s="30"/>
      <c r="X19" s="30"/>
    </row>
    <row r="20" ht="14.25" customHeight="1">
      <c r="A20" s="169">
        <v>19.0</v>
      </c>
      <c r="B20" s="30">
        <v>145.5</v>
      </c>
      <c r="C20" s="30">
        <v>166.5</v>
      </c>
      <c r="D20" s="30">
        <v>327.0</v>
      </c>
      <c r="E20" s="30">
        <v>230.5</v>
      </c>
      <c r="F20" s="30">
        <v>214.5</v>
      </c>
      <c r="G20" s="30">
        <v>155.0</v>
      </c>
      <c r="H20" s="226">
        <v>0.0</v>
      </c>
      <c r="I20" s="30">
        <v>181.0</v>
      </c>
      <c r="J20" s="30">
        <v>184.9</v>
      </c>
      <c r="K20" s="30">
        <v>109.0</v>
      </c>
      <c r="L20" s="30">
        <v>193.95</v>
      </c>
      <c r="M20" s="30">
        <v>292.0</v>
      </c>
      <c r="N20" s="30">
        <v>425.29999999999995</v>
      </c>
      <c r="O20" s="30">
        <v>237.5</v>
      </c>
      <c r="P20" s="59">
        <v>40.0</v>
      </c>
      <c r="Q20" s="30">
        <v>110.0</v>
      </c>
      <c r="R20" s="30">
        <v>170.0</v>
      </c>
      <c r="S20" s="30">
        <v>101.0</v>
      </c>
      <c r="T20" s="30">
        <v>110.5</v>
      </c>
      <c r="U20" s="30">
        <v>180.2</v>
      </c>
      <c r="V20" s="30"/>
      <c r="W20" s="30"/>
      <c r="X20" s="30"/>
    </row>
    <row r="21" ht="14.25" customHeight="1">
      <c r="A21" s="169">
        <v>20.0</v>
      </c>
      <c r="B21" s="30">
        <v>102.5</v>
      </c>
      <c r="C21" s="30">
        <v>113.5</v>
      </c>
      <c r="D21" s="30">
        <v>277.5</v>
      </c>
      <c r="E21" s="30">
        <v>155.5</v>
      </c>
      <c r="F21" s="30">
        <v>118.0</v>
      </c>
      <c r="G21" s="30">
        <v>201.0</v>
      </c>
      <c r="H21" s="30">
        <v>130.0</v>
      </c>
      <c r="I21" s="30">
        <v>192.5</v>
      </c>
      <c r="J21" s="30">
        <v>182.0</v>
      </c>
      <c r="K21" s="59">
        <v>49.0</v>
      </c>
      <c r="L21" s="30">
        <v>151.5</v>
      </c>
      <c r="M21" s="30">
        <v>268.6</v>
      </c>
      <c r="N21" s="30">
        <v>190.2</v>
      </c>
      <c r="O21" s="30">
        <v>131.0</v>
      </c>
      <c r="P21" s="30" t="s">
        <v>26</v>
      </c>
      <c r="Q21" s="30">
        <v>112.0</v>
      </c>
      <c r="R21" s="30">
        <v>120.0</v>
      </c>
      <c r="S21" s="30">
        <v>124.5</v>
      </c>
      <c r="T21" s="30">
        <v>100.5</v>
      </c>
      <c r="U21" s="30">
        <v>203.15</v>
      </c>
      <c r="V21" s="30"/>
      <c r="W21" s="59"/>
      <c r="X21" s="30" t="s">
        <v>120</v>
      </c>
    </row>
    <row r="22" ht="14.25" customHeight="1">
      <c r="A22" s="169">
        <v>21.0</v>
      </c>
      <c r="B22" s="30">
        <v>104.5</v>
      </c>
      <c r="C22" s="30">
        <v>123.0</v>
      </c>
      <c r="D22" s="30">
        <v>288.5</v>
      </c>
      <c r="E22" s="30">
        <v>384.5</v>
      </c>
      <c r="F22" s="30">
        <v>107.5</v>
      </c>
      <c r="G22" s="30">
        <v>101.5</v>
      </c>
      <c r="H22" s="30">
        <v>133.0</v>
      </c>
      <c r="I22" s="30">
        <v>134.0</v>
      </c>
      <c r="J22" s="30">
        <v>186.0</v>
      </c>
      <c r="K22" s="30">
        <v>106.0</v>
      </c>
      <c r="L22" s="30">
        <v>253.5</v>
      </c>
      <c r="M22" s="30">
        <v>362.4</v>
      </c>
      <c r="N22" s="30">
        <v>276.8</v>
      </c>
      <c r="O22" s="30">
        <v>129.0</v>
      </c>
      <c r="P22" s="30" t="s">
        <v>26</v>
      </c>
      <c r="Q22" s="30">
        <v>101.5</v>
      </c>
      <c r="R22" s="30">
        <v>140.0</v>
      </c>
      <c r="S22" s="30">
        <v>115.5</v>
      </c>
      <c r="T22" s="59">
        <v>0.0</v>
      </c>
      <c r="U22" s="30">
        <v>176.6</v>
      </c>
      <c r="V22" s="30"/>
      <c r="W22" s="62"/>
      <c r="X22" s="30" t="s">
        <v>121</v>
      </c>
    </row>
    <row r="23" ht="14.25" customHeight="1">
      <c r="A23" s="169">
        <v>22.0</v>
      </c>
      <c r="B23" s="30">
        <v>107.0</v>
      </c>
      <c r="C23" s="30">
        <v>186.5</v>
      </c>
      <c r="D23" s="30">
        <v>228.5</v>
      </c>
      <c r="E23" s="30">
        <v>103.0</v>
      </c>
      <c r="F23" s="30">
        <v>115.5</v>
      </c>
      <c r="G23" s="30">
        <v>127.0</v>
      </c>
      <c r="H23" s="30">
        <v>102.0</v>
      </c>
      <c r="I23" s="30">
        <v>254.5</v>
      </c>
      <c r="J23" s="30">
        <v>187.7</v>
      </c>
      <c r="K23" s="30">
        <v>118.0</v>
      </c>
      <c r="L23" s="220">
        <v>93.5</v>
      </c>
      <c r="M23" s="30">
        <v>303.5</v>
      </c>
      <c r="N23" s="30">
        <v>180.10000000000002</v>
      </c>
      <c r="O23" s="59">
        <v>68.5</v>
      </c>
      <c r="P23" s="30" t="s">
        <v>26</v>
      </c>
      <c r="Q23" s="30">
        <v>102.0</v>
      </c>
      <c r="R23" s="30">
        <v>150.0</v>
      </c>
      <c r="S23" s="30">
        <v>100.5</v>
      </c>
      <c r="T23" s="59">
        <v>0.0</v>
      </c>
      <c r="U23" s="30">
        <v>230.7</v>
      </c>
      <c r="V23" s="30"/>
      <c r="W23" s="184"/>
      <c r="X23" s="30" t="s">
        <v>122</v>
      </c>
    </row>
    <row r="24" ht="14.25" customHeight="1">
      <c r="A24" s="169">
        <v>23.0</v>
      </c>
      <c r="B24" s="220">
        <v>0.0</v>
      </c>
      <c r="C24" s="30">
        <v>117.5</v>
      </c>
      <c r="D24" s="30">
        <v>299.5</v>
      </c>
      <c r="E24" s="30">
        <v>110.0</v>
      </c>
      <c r="F24" s="30">
        <v>105.0</v>
      </c>
      <c r="G24" s="30">
        <v>133.5</v>
      </c>
      <c r="H24" s="30">
        <v>163.0</v>
      </c>
      <c r="I24" s="30">
        <v>177.5</v>
      </c>
      <c r="J24" s="30">
        <v>111.7</v>
      </c>
      <c r="K24" s="30">
        <v>101.0</v>
      </c>
      <c r="L24" s="30">
        <v>182.5</v>
      </c>
      <c r="M24" s="30">
        <v>294.8</v>
      </c>
      <c r="N24" s="30">
        <v>363.59999999999997</v>
      </c>
      <c r="O24" s="30">
        <v>220.5</v>
      </c>
      <c r="P24" s="30" t="s">
        <v>26</v>
      </c>
      <c r="Q24" s="30">
        <v>109.0</v>
      </c>
      <c r="R24" s="30">
        <v>150.0</v>
      </c>
      <c r="S24" s="184">
        <v>0.0</v>
      </c>
      <c r="T24" s="59">
        <v>0.0</v>
      </c>
      <c r="U24" s="30">
        <v>101.4</v>
      </c>
      <c r="V24" s="30"/>
      <c r="W24" s="215"/>
      <c r="X24" s="30" t="s">
        <v>333</v>
      </c>
    </row>
    <row r="25" ht="14.25" customHeight="1">
      <c r="A25" s="169">
        <v>24.0</v>
      </c>
      <c r="B25" s="220">
        <v>0.0</v>
      </c>
      <c r="C25" s="30">
        <v>162.0</v>
      </c>
      <c r="D25" s="30">
        <v>438.0</v>
      </c>
      <c r="E25" s="30">
        <v>155.0</v>
      </c>
      <c r="F25" s="30">
        <v>162.5</v>
      </c>
      <c r="G25" s="30">
        <f>96+25</f>
        <v>121</v>
      </c>
      <c r="H25" s="30">
        <v>159.0</v>
      </c>
      <c r="I25" s="30">
        <v>171.5</v>
      </c>
      <c r="J25" s="30">
        <v>133.4</v>
      </c>
      <c r="K25" s="30">
        <v>100.5</v>
      </c>
      <c r="L25" s="30">
        <v>167.0</v>
      </c>
      <c r="M25" s="30">
        <v>599.6</v>
      </c>
      <c r="N25" s="30">
        <v>412.8</v>
      </c>
      <c r="O25" s="184">
        <v>99.5</v>
      </c>
      <c r="P25" s="30" t="s">
        <v>26</v>
      </c>
      <c r="Q25" s="30">
        <v>110.0</v>
      </c>
      <c r="R25" s="30">
        <v>120.0</v>
      </c>
      <c r="S25" s="30">
        <v>122.0</v>
      </c>
      <c r="T25" s="30">
        <v>100.5</v>
      </c>
      <c r="U25" s="30">
        <v>106.8</v>
      </c>
      <c r="V25" s="30"/>
      <c r="W25" s="216"/>
      <c r="X25" s="30" t="s">
        <v>335</v>
      </c>
    </row>
    <row r="26" ht="14.25" customHeight="1">
      <c r="A26" s="169">
        <v>25.0</v>
      </c>
      <c r="B26" s="30">
        <v>137.0</v>
      </c>
      <c r="C26" s="30">
        <v>187.5</v>
      </c>
      <c r="D26" s="30">
        <v>408.5</v>
      </c>
      <c r="E26" s="226">
        <v>0.0</v>
      </c>
      <c r="F26" s="219">
        <v>104.0</v>
      </c>
      <c r="G26" s="30">
        <v>101.5</v>
      </c>
      <c r="H26" s="30">
        <v>258.0</v>
      </c>
      <c r="I26" s="30">
        <v>127.5</v>
      </c>
      <c r="J26" s="30">
        <v>121.3</v>
      </c>
      <c r="K26" s="184">
        <v>64.0</v>
      </c>
      <c r="L26" s="30">
        <v>102.5</v>
      </c>
      <c r="M26" s="30">
        <v>237.4</v>
      </c>
      <c r="N26" s="30">
        <v>377.2</v>
      </c>
      <c r="O26" s="220">
        <v>0.0</v>
      </c>
      <c r="P26" s="30" t="s">
        <v>26</v>
      </c>
      <c r="Q26" s="64">
        <v>100.0</v>
      </c>
      <c r="R26" s="30">
        <v>110.0</v>
      </c>
      <c r="S26" s="30">
        <v>117.0</v>
      </c>
      <c r="T26" s="59">
        <v>0.0</v>
      </c>
      <c r="U26" s="30">
        <v>116.4</v>
      </c>
      <c r="V26" s="30"/>
      <c r="W26" s="64"/>
      <c r="X26" s="30" t="s">
        <v>123</v>
      </c>
    </row>
    <row r="27" ht="14.25" customHeight="1">
      <c r="A27" s="227" t="s">
        <v>370</v>
      </c>
      <c r="B27" s="59">
        <v>0.0</v>
      </c>
      <c r="C27" s="59">
        <v>0.0</v>
      </c>
      <c r="D27" s="59">
        <v>0.0</v>
      </c>
      <c r="E27" s="59">
        <v>1.0</v>
      </c>
      <c r="F27" s="59">
        <v>0.0</v>
      </c>
      <c r="G27" s="59">
        <v>0.0</v>
      </c>
      <c r="H27" s="59">
        <v>5.0</v>
      </c>
      <c r="I27" s="59">
        <v>0.0</v>
      </c>
      <c r="J27" s="59">
        <v>0.0</v>
      </c>
      <c r="K27" s="59">
        <v>2.0</v>
      </c>
      <c r="L27" s="59">
        <v>0.0</v>
      </c>
      <c r="M27" s="59">
        <v>0.0</v>
      </c>
      <c r="N27" s="59">
        <v>0.0</v>
      </c>
      <c r="O27" s="59">
        <v>1.0</v>
      </c>
      <c r="P27" s="59">
        <v>5.0</v>
      </c>
      <c r="Q27" s="59">
        <v>1.0</v>
      </c>
      <c r="R27" s="59">
        <v>1.0</v>
      </c>
      <c r="S27" s="59">
        <v>0.0</v>
      </c>
      <c r="T27" s="59">
        <v>4.0</v>
      </c>
      <c r="U27" s="59">
        <v>0.0</v>
      </c>
      <c r="V27" s="30"/>
      <c r="W27" s="30"/>
      <c r="X27" s="30"/>
    </row>
    <row r="28" ht="14.25" customHeight="1">
      <c r="A28" s="66" t="s">
        <v>336</v>
      </c>
      <c r="B28" s="228">
        <f>SUM(B2:B13,B15:B23,B26)</f>
        <v>3147</v>
      </c>
      <c r="C28" s="228">
        <f>SUM(C2:C4,C6:C9,C11:C13,C15:C26)</f>
        <v>3515.5</v>
      </c>
      <c r="D28" s="228">
        <f>SUM(D2:D3,D5,D7:D10,D12:D26)</f>
        <v>6900.5</v>
      </c>
      <c r="E28" s="228">
        <f>SUM(E2:E4,E6:E10,E12:E26)</f>
        <v>3275</v>
      </c>
      <c r="F28" s="228">
        <f>SUM(F2:F4,F6:F9,F11:F26)</f>
        <v>3075.5</v>
      </c>
      <c r="G28" s="228">
        <f>SUM(G2:G9,G12,G14:G26)</f>
        <v>2563</v>
      </c>
      <c r="H28" s="228">
        <f>SUM(H2:H5,H7:H12,H14:H19,H21:H26)</f>
        <v>2318.5</v>
      </c>
      <c r="I28" s="228">
        <f>SUM(I2:I4,I6:I12,I14,I16:I26)</f>
        <v>3367.4</v>
      </c>
      <c r="J28" s="228">
        <f>SUM(J2:J4,J7:J10,J12:J26)</f>
        <v>3401.06</v>
      </c>
      <c r="K28" s="228">
        <f>SUM(K2:K7,K9,K11:K17,K19:K26)</f>
        <v>2049</v>
      </c>
      <c r="L28" s="228">
        <f>SUM(L2,L4:L12,L14:L22,L24:L26)</f>
        <v>3889</v>
      </c>
      <c r="M28" s="228">
        <f>SUM(M2,M6:M26)</f>
        <v>6258.47</v>
      </c>
      <c r="N28" s="228">
        <f>SUM(N2:N4,N6,N8,N10:N26)</f>
        <v>6602.12</v>
      </c>
      <c r="O28" s="228">
        <f>SUM(O2:O3,O6:O25)</f>
        <v>2628.5</v>
      </c>
      <c r="P28" s="228">
        <f>SUM(P2:P20)</f>
        <v>1520.4</v>
      </c>
      <c r="Q28" s="228">
        <f>SUM(Q2:Q5,Q7,Q9:Q25)</f>
        <v>2644</v>
      </c>
      <c r="R28" s="228">
        <f>SUM(R2,R4:R5,R7,R9:R17,R19:R26)</f>
        <v>2729</v>
      </c>
      <c r="S28" s="228">
        <f t="shared" ref="S28:T28" si="1">SUM(S16:S26)</f>
        <v>1281</v>
      </c>
      <c r="T28" s="228">
        <f t="shared" si="1"/>
        <v>713.5</v>
      </c>
      <c r="U28" s="228">
        <f>SUM(U17:U26)</f>
        <v>1461.55</v>
      </c>
      <c r="V28" s="30"/>
      <c r="W28" s="30"/>
      <c r="X28" s="30"/>
    </row>
    <row r="29" ht="14.25" customHeight="1">
      <c r="A29" s="156" t="s">
        <v>337</v>
      </c>
      <c r="B29" s="70">
        <f>AVERAGE(B2:B13,B15:B23,B26)</f>
        <v>143.0454545</v>
      </c>
      <c r="C29" s="157">
        <f>AVERAGE(C2:C4,C6:C9,C11:C13,C15:C26)</f>
        <v>159.7954545</v>
      </c>
      <c r="D29" s="157">
        <f>AVERAGE(D2:D3,D5,D7:D10,D12:D26)</f>
        <v>313.6590909</v>
      </c>
      <c r="E29" s="157">
        <f>AVERAGE(E2:E4,E6:E10,E12:E26)</f>
        <v>142.3913043</v>
      </c>
      <c r="F29" s="157">
        <f>AVERAGE(F2:F4,F6:F9,F11:F26)</f>
        <v>133.7173913</v>
      </c>
      <c r="G29" s="157">
        <f>AVERAGE(G2:G9,G12,G14:G26)</f>
        <v>116.5</v>
      </c>
      <c r="H29" s="157">
        <f>AVERAGE(H2:H5,H7:H12,H14:H19,H21:H26)</f>
        <v>105.3863636</v>
      </c>
      <c r="I29" s="157">
        <f>AVERAGE(I2:I4,I6:I12,I14,I16:I26)</f>
        <v>153.0636364</v>
      </c>
      <c r="J29" s="157">
        <f>AVERAGE(J2:J4,J7:J10,J12:J26)</f>
        <v>154.5936364</v>
      </c>
      <c r="K29" s="157">
        <f>AVERAGE(K2:K7,K9,K11:K17,K19:K26)</f>
        <v>93.13636364</v>
      </c>
      <c r="L29" s="157">
        <f>AVERAGE(L2,L4:L12,L14:L22,L24:L26)</f>
        <v>176.7727273</v>
      </c>
      <c r="M29" s="157">
        <f>AVERAGE(M2,M6:M26)</f>
        <v>284.4759091</v>
      </c>
      <c r="N29" s="157">
        <f>AVERAGE(N2:N4,N6,N8,N10:N26)</f>
        <v>300.0963636</v>
      </c>
      <c r="O29" s="157">
        <f>AVERAGE(O2:O3,O6:O25)</f>
        <v>119.4772727</v>
      </c>
      <c r="P29" s="157">
        <f>AVERAGE(P2:P20)</f>
        <v>80.02105263</v>
      </c>
      <c r="Q29" s="157">
        <f>AVERAGE(Q2:Q5,Q7,Q9:Q25)</f>
        <v>120.1818182</v>
      </c>
      <c r="R29" s="157">
        <f>AVERAGE(R2,R4:R5,R7,R9:R17,R19:R26)</f>
        <v>129.952381</v>
      </c>
      <c r="S29" s="157">
        <f t="shared" ref="S29:T29" si="2">AVERAGE(S16:S26)</f>
        <v>116.4545455</v>
      </c>
      <c r="T29" s="157">
        <f t="shared" si="2"/>
        <v>64.86363636</v>
      </c>
      <c r="U29" s="157">
        <f>AVERAGE(U17:U26)</f>
        <v>146.155</v>
      </c>
      <c r="V29" s="30"/>
      <c r="W29" s="30"/>
      <c r="X29" s="30"/>
    </row>
    <row r="30" ht="14.25" customHeight="1">
      <c r="A30" s="217" t="s">
        <v>338</v>
      </c>
      <c r="B30" s="30">
        <f>RANK(B29,B29:U29)</f>
        <v>9</v>
      </c>
      <c r="C30" s="30">
        <f>RANK(C29,B29:U29)</f>
        <v>5</v>
      </c>
      <c r="D30" s="30">
        <f>RANK(D29,B29:U29)</f>
        <v>1</v>
      </c>
      <c r="E30" s="30">
        <f>RANK(E29,B29:U29)</f>
        <v>10</v>
      </c>
      <c r="F30" s="30">
        <f>RANK(F29,B29:U29)</f>
        <v>11</v>
      </c>
      <c r="G30" s="30">
        <f>RANK(G29,B29:U29)</f>
        <v>15</v>
      </c>
      <c r="H30" s="30">
        <f>RANK(H29,B29:U29)</f>
        <v>17</v>
      </c>
      <c r="I30" s="30">
        <f>RANK(I29,B29:U29)</f>
        <v>7</v>
      </c>
      <c r="J30" s="30">
        <f>RANK(J29,B29:U29)</f>
        <v>6</v>
      </c>
      <c r="K30" s="30">
        <f>RANK(K29,B29:U29)</f>
        <v>18</v>
      </c>
      <c r="L30" s="30">
        <f>RANK(L29,B29:U29)</f>
        <v>4</v>
      </c>
      <c r="M30" s="30">
        <f>RANK(M29,B29:U29)</f>
        <v>3</v>
      </c>
      <c r="N30" s="30">
        <f>RANK(N29,B29:U29)</f>
        <v>2</v>
      </c>
      <c r="O30" s="30">
        <f>RANK(O29,B29:U29)</f>
        <v>14</v>
      </c>
      <c r="P30" s="30">
        <f>RANK(P29,B29:U29)</f>
        <v>19</v>
      </c>
      <c r="Q30" s="30">
        <f>RANK(Q29,B29:U29)</f>
        <v>13</v>
      </c>
      <c r="R30" s="30">
        <f>RANK(R29,B29:U29)</f>
        <v>12</v>
      </c>
      <c r="S30" s="30">
        <f>RANK(S29,B29:U29)</f>
        <v>16</v>
      </c>
      <c r="T30" s="30">
        <f>RANK(T29,B29:U29)</f>
        <v>20</v>
      </c>
      <c r="U30" s="30">
        <f>RANK(U29,B29:U29)</f>
        <v>8</v>
      </c>
      <c r="V30" s="30"/>
      <c r="W30" s="30"/>
      <c r="X30" s="30"/>
    </row>
    <row r="31" ht="14.2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</row>
    <row r="32" ht="14.25" customHeight="1">
      <c r="A32" s="30" t="s">
        <v>339</v>
      </c>
      <c r="B32" s="30">
        <v>3221.0</v>
      </c>
      <c r="C32" s="30">
        <v>3688.5</v>
      </c>
      <c r="D32" s="30">
        <v>7186.5</v>
      </c>
      <c r="E32" s="30">
        <v>3275.0</v>
      </c>
      <c r="F32" s="30">
        <v>3280.0</v>
      </c>
      <c r="G32" s="30">
        <v>2599.0</v>
      </c>
      <c r="H32" s="30">
        <v>2318.5</v>
      </c>
      <c r="I32" s="30">
        <v>3568.4</v>
      </c>
      <c r="J32" s="30">
        <v>3618.46</v>
      </c>
      <c r="K32" s="30">
        <v>2049.0</v>
      </c>
      <c r="L32" s="30">
        <v>4159.75</v>
      </c>
      <c r="M32" s="30">
        <v>6656.22</v>
      </c>
      <c r="N32" s="30">
        <v>6912.920000000001</v>
      </c>
      <c r="O32" s="30">
        <v>2659.5</v>
      </c>
      <c r="P32" s="30">
        <v>1520.4</v>
      </c>
      <c r="Q32" s="30">
        <v>2744.0</v>
      </c>
      <c r="R32" s="30">
        <v>3011.0</v>
      </c>
      <c r="S32" s="30">
        <v>1281.0</v>
      </c>
      <c r="T32" s="30">
        <v>713.5</v>
      </c>
      <c r="U32" s="30">
        <v>1461.5500000000002</v>
      </c>
      <c r="V32" s="30"/>
      <c r="W32" s="30"/>
      <c r="X32" s="30"/>
    </row>
    <row r="33" ht="14.2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</row>
    <row r="34" ht="14.25" customHeight="1">
      <c r="A34" s="51" t="s">
        <v>118</v>
      </c>
      <c r="B34" s="51" t="s">
        <v>139</v>
      </c>
      <c r="C34" s="51" t="s">
        <v>140</v>
      </c>
      <c r="D34" s="51" t="s">
        <v>231</v>
      </c>
      <c r="E34" s="51" t="s">
        <v>137</v>
      </c>
      <c r="F34" s="51" t="s">
        <v>232</v>
      </c>
      <c r="G34" s="51" t="s">
        <v>233</v>
      </c>
      <c r="H34" s="30"/>
      <c r="I34" s="66" t="s">
        <v>340</v>
      </c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</row>
    <row r="35" ht="14.25" customHeight="1">
      <c r="A35" s="169">
        <v>1.0</v>
      </c>
      <c r="B35" s="89" t="s">
        <v>167</v>
      </c>
      <c r="C35" s="30" t="s">
        <v>260</v>
      </c>
      <c r="D35" s="89" t="s">
        <v>2</v>
      </c>
      <c r="E35" s="89">
        <v>80.0</v>
      </c>
      <c r="F35" s="89" t="s">
        <v>26</v>
      </c>
      <c r="G35" s="89" t="s">
        <v>26</v>
      </c>
      <c r="H35" s="30"/>
      <c r="I35" s="216" t="s">
        <v>2</v>
      </c>
      <c r="J35" s="218" t="s">
        <v>369</v>
      </c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</row>
    <row r="36" ht="14.25" customHeight="1">
      <c r="A36" s="169">
        <v>2.0</v>
      </c>
      <c r="B36" s="89" t="s">
        <v>11</v>
      </c>
      <c r="C36" s="30" t="s">
        <v>91</v>
      </c>
      <c r="D36" s="89" t="s">
        <v>11</v>
      </c>
      <c r="E36" s="89">
        <v>17.0</v>
      </c>
      <c r="F36" s="89" t="s">
        <v>26</v>
      </c>
      <c r="G36" s="89" t="s">
        <v>26</v>
      </c>
      <c r="H36" s="30"/>
      <c r="I36" s="216" t="s">
        <v>365</v>
      </c>
      <c r="J36" s="218" t="s">
        <v>366</v>
      </c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</row>
    <row r="37" ht="14.25" customHeight="1">
      <c r="A37" s="169">
        <v>3.0</v>
      </c>
      <c r="B37" s="89" t="s">
        <v>2</v>
      </c>
      <c r="C37" s="30" t="s">
        <v>371</v>
      </c>
      <c r="D37" s="89" t="s">
        <v>21</v>
      </c>
      <c r="E37" s="229">
        <v>0.08958333333333333</v>
      </c>
      <c r="F37" s="89" t="s">
        <v>26</v>
      </c>
      <c r="G37" s="89" t="s">
        <v>26</v>
      </c>
      <c r="H37" s="30"/>
      <c r="I37" s="216" t="s">
        <v>4</v>
      </c>
      <c r="J37" s="218" t="s">
        <v>9</v>
      </c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</row>
    <row r="38" ht="14.25" customHeight="1">
      <c r="A38" s="169">
        <v>4.0</v>
      </c>
      <c r="B38" s="89" t="s">
        <v>363</v>
      </c>
      <c r="C38" s="30" t="s">
        <v>78</v>
      </c>
      <c r="D38" s="89" t="s">
        <v>2</v>
      </c>
      <c r="E38" s="89">
        <v>18.0</v>
      </c>
      <c r="F38" s="89" t="s">
        <v>26</v>
      </c>
      <c r="G38" s="89" t="s">
        <v>26</v>
      </c>
      <c r="H38" s="30"/>
      <c r="I38" s="216" t="s">
        <v>10</v>
      </c>
      <c r="J38" s="218" t="s">
        <v>257</v>
      </c>
      <c r="K38" s="62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</row>
    <row r="39" ht="14.25" customHeight="1">
      <c r="A39" s="169">
        <v>5.0</v>
      </c>
      <c r="B39" s="89" t="s">
        <v>364</v>
      </c>
      <c r="C39" s="30" t="s">
        <v>372</v>
      </c>
      <c r="D39" s="89" t="s">
        <v>2</v>
      </c>
      <c r="E39" s="229">
        <v>0.05625</v>
      </c>
      <c r="F39" s="89" t="s">
        <v>26</v>
      </c>
      <c r="G39" s="89" t="s">
        <v>26</v>
      </c>
      <c r="H39" s="30"/>
      <c r="I39" s="216" t="s">
        <v>11</v>
      </c>
      <c r="J39" s="218" t="s">
        <v>5</v>
      </c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</row>
    <row r="40" ht="14.25" customHeight="1">
      <c r="A40" s="169">
        <v>6.0</v>
      </c>
      <c r="B40" s="89" t="s">
        <v>21</v>
      </c>
      <c r="C40" s="30" t="s">
        <v>86</v>
      </c>
      <c r="D40" s="89" t="s">
        <v>15</v>
      </c>
      <c r="E40" s="89">
        <v>35.0</v>
      </c>
      <c r="F40" s="89" t="s">
        <v>26</v>
      </c>
      <c r="G40" s="89" t="s">
        <v>26</v>
      </c>
      <c r="H40" s="30"/>
      <c r="I40" s="216" t="s">
        <v>15</v>
      </c>
      <c r="J40" s="218" t="s">
        <v>21</v>
      </c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</row>
    <row r="41" ht="14.25" customHeight="1">
      <c r="A41" s="169">
        <v>7.0</v>
      </c>
      <c r="B41" s="89" t="s">
        <v>257</v>
      </c>
      <c r="C41" s="30" t="s">
        <v>373</v>
      </c>
      <c r="D41" s="89" t="s">
        <v>2</v>
      </c>
      <c r="E41" s="89" t="s">
        <v>374</v>
      </c>
      <c r="F41" s="89" t="s">
        <v>26</v>
      </c>
      <c r="G41" s="89" t="s">
        <v>26</v>
      </c>
      <c r="H41" s="30"/>
      <c r="I41" s="216" t="s">
        <v>12</v>
      </c>
      <c r="J41" s="218" t="s">
        <v>20</v>
      </c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</row>
    <row r="42" ht="14.25" customHeight="1">
      <c r="A42" s="169">
        <v>8.0</v>
      </c>
      <c r="B42" s="89" t="s">
        <v>12</v>
      </c>
      <c r="C42" s="30" t="s">
        <v>75</v>
      </c>
      <c r="D42" s="89" t="s">
        <v>0</v>
      </c>
      <c r="E42" s="89">
        <v>94.0</v>
      </c>
      <c r="F42" s="89" t="s">
        <v>26</v>
      </c>
      <c r="G42" s="89" t="s">
        <v>26</v>
      </c>
      <c r="H42" s="30"/>
      <c r="I42" s="216" t="s">
        <v>18</v>
      </c>
      <c r="J42" s="218" t="s">
        <v>367</v>
      </c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</row>
    <row r="43" ht="14.25" customHeight="1">
      <c r="A43" s="169">
        <v>9.0</v>
      </c>
      <c r="B43" s="89" t="s">
        <v>15</v>
      </c>
      <c r="C43" s="30" t="s">
        <v>101</v>
      </c>
      <c r="D43" s="89" t="s">
        <v>15</v>
      </c>
      <c r="E43" s="89">
        <v>28.5</v>
      </c>
      <c r="F43" s="89" t="s">
        <v>26</v>
      </c>
      <c r="G43" s="89" t="s">
        <v>26</v>
      </c>
      <c r="H43" s="30"/>
      <c r="I43" s="216" t="s">
        <v>0</v>
      </c>
      <c r="J43" s="218" t="s">
        <v>368</v>
      </c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</row>
    <row r="44" ht="14.25" customHeight="1">
      <c r="A44" s="169">
        <v>10.0</v>
      </c>
      <c r="B44" s="89" t="s">
        <v>10</v>
      </c>
      <c r="C44" s="30" t="s">
        <v>375</v>
      </c>
      <c r="D44" s="89" t="s">
        <v>376</v>
      </c>
      <c r="E44" s="229">
        <v>0.19722222222222222</v>
      </c>
      <c r="F44" s="89" t="s">
        <v>26</v>
      </c>
      <c r="G44" s="89" t="s">
        <v>26</v>
      </c>
      <c r="H44" s="30"/>
      <c r="I44" s="216" t="s">
        <v>363</v>
      </c>
      <c r="J44" s="218" t="s">
        <v>377</v>
      </c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</row>
    <row r="45" ht="14.25" customHeight="1">
      <c r="A45" s="169">
        <v>11.0</v>
      </c>
      <c r="B45" s="89" t="s">
        <v>9</v>
      </c>
      <c r="C45" s="30" t="s">
        <v>378</v>
      </c>
      <c r="D45" s="89" t="s">
        <v>2</v>
      </c>
      <c r="E45" s="89" t="s">
        <v>379</v>
      </c>
      <c r="F45" s="89" t="s">
        <v>26</v>
      </c>
      <c r="G45" s="89" t="s">
        <v>26</v>
      </c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</row>
    <row r="46" ht="14.25" customHeight="1">
      <c r="A46" s="169">
        <v>12.0</v>
      </c>
      <c r="B46" s="89" t="s">
        <v>4</v>
      </c>
      <c r="C46" s="30" t="s">
        <v>380</v>
      </c>
      <c r="D46" s="89" t="s">
        <v>368</v>
      </c>
      <c r="E46" s="229">
        <v>0.11180555555555556</v>
      </c>
      <c r="F46" s="89" t="s">
        <v>26</v>
      </c>
      <c r="G46" s="89" t="s">
        <v>26</v>
      </c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</row>
    <row r="47" ht="14.25" customHeight="1">
      <c r="A47" s="169">
        <v>13.0</v>
      </c>
      <c r="B47" s="89" t="s">
        <v>365</v>
      </c>
      <c r="C47" s="30" t="s">
        <v>381</v>
      </c>
      <c r="D47" s="89" t="s">
        <v>363</v>
      </c>
      <c r="E47" s="89">
        <v>30.0</v>
      </c>
      <c r="F47" s="89" t="s">
        <v>26</v>
      </c>
      <c r="G47" s="89" t="s">
        <v>26</v>
      </c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</row>
    <row r="48" ht="14.25" customHeight="1">
      <c r="A48" s="169">
        <v>14.0</v>
      </c>
      <c r="B48" s="89" t="s">
        <v>20</v>
      </c>
      <c r="C48" s="30" t="s">
        <v>382</v>
      </c>
      <c r="D48" s="89" t="s">
        <v>2</v>
      </c>
      <c r="E48" s="89" t="s">
        <v>383</v>
      </c>
      <c r="F48" s="89" t="s">
        <v>26</v>
      </c>
      <c r="G48" s="89" t="s">
        <v>26</v>
      </c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</row>
    <row r="49" ht="14.25" customHeight="1">
      <c r="A49" s="169">
        <v>15.0</v>
      </c>
      <c r="B49" s="89" t="s">
        <v>366</v>
      </c>
      <c r="C49" s="30" t="s">
        <v>384</v>
      </c>
      <c r="D49" s="89" t="s">
        <v>377</v>
      </c>
      <c r="E49" s="89">
        <v>220.0</v>
      </c>
      <c r="F49" s="89" t="s">
        <v>26</v>
      </c>
      <c r="G49" s="89" t="s">
        <v>26</v>
      </c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</row>
    <row r="50" ht="14.25" customHeight="1">
      <c r="A50" s="169">
        <v>16.0</v>
      </c>
      <c r="B50" s="89" t="s">
        <v>367</v>
      </c>
      <c r="C50" s="30" t="s">
        <v>385</v>
      </c>
      <c r="D50" s="89" t="s">
        <v>11</v>
      </c>
      <c r="E50" s="229">
        <v>0.12986111111111112</v>
      </c>
      <c r="F50" s="89" t="s">
        <v>21</v>
      </c>
      <c r="G50" s="89" t="s">
        <v>377</v>
      </c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</row>
    <row r="51" ht="14.25" customHeight="1">
      <c r="A51" s="169">
        <v>17.0</v>
      </c>
      <c r="B51" s="89" t="s">
        <v>368</v>
      </c>
      <c r="C51" s="30" t="s">
        <v>386</v>
      </c>
      <c r="D51" s="89" t="s">
        <v>21</v>
      </c>
      <c r="E51" s="229">
        <v>0.17500000000000002</v>
      </c>
      <c r="F51" s="89" t="s">
        <v>387</v>
      </c>
      <c r="G51" s="89" t="s">
        <v>0</v>
      </c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</row>
    <row r="52" ht="14.25" customHeight="1">
      <c r="A52" s="169">
        <v>18.0</v>
      </c>
      <c r="B52" s="89" t="s">
        <v>5</v>
      </c>
      <c r="C52" s="30" t="s">
        <v>388</v>
      </c>
      <c r="D52" s="89" t="s">
        <v>5</v>
      </c>
      <c r="E52" s="89">
        <v>90.0</v>
      </c>
      <c r="F52" s="89" t="s">
        <v>387</v>
      </c>
      <c r="G52" s="89" t="s">
        <v>365</v>
      </c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</row>
    <row r="53" ht="14.25" customHeight="1">
      <c r="A53" s="169">
        <v>19.0</v>
      </c>
      <c r="B53" s="89" t="s">
        <v>369</v>
      </c>
      <c r="C53" s="30" t="s">
        <v>389</v>
      </c>
      <c r="D53" s="89" t="s">
        <v>0</v>
      </c>
      <c r="E53" s="229">
        <v>0.1673611111111111</v>
      </c>
      <c r="F53" s="89" t="s">
        <v>21</v>
      </c>
      <c r="G53" s="89" t="s">
        <v>369</v>
      </c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</row>
    <row r="54" ht="14.25" customHeight="1">
      <c r="A54" s="169">
        <v>20.0</v>
      </c>
      <c r="B54" s="89" t="s">
        <v>18</v>
      </c>
      <c r="C54" s="30" t="s">
        <v>390</v>
      </c>
      <c r="D54" s="89" t="s">
        <v>15</v>
      </c>
      <c r="E54" s="89">
        <v>1214.0</v>
      </c>
      <c r="F54" s="89" t="s">
        <v>12</v>
      </c>
      <c r="G54" s="89" t="s">
        <v>18</v>
      </c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</row>
    <row r="55" ht="14.25" customHeight="1">
      <c r="A55" s="169">
        <v>21.0</v>
      </c>
      <c r="B55" s="89" t="s">
        <v>257</v>
      </c>
      <c r="C55" s="30" t="s">
        <v>38</v>
      </c>
      <c r="D55" s="89" t="s">
        <v>2</v>
      </c>
      <c r="E55" s="89">
        <v>231.0</v>
      </c>
      <c r="F55" s="89" t="s">
        <v>15</v>
      </c>
      <c r="G55" s="89" t="s">
        <v>10</v>
      </c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</row>
    <row r="56" ht="14.25" customHeight="1">
      <c r="A56" s="169">
        <v>22.0</v>
      </c>
      <c r="B56" s="89" t="s">
        <v>369</v>
      </c>
      <c r="C56" s="30" t="s">
        <v>391</v>
      </c>
      <c r="D56" s="89" t="s">
        <v>12</v>
      </c>
      <c r="E56" s="89">
        <v>3946.0</v>
      </c>
      <c r="F56" s="89" t="s">
        <v>387</v>
      </c>
      <c r="G56" s="89" t="s">
        <v>18</v>
      </c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</row>
    <row r="57" ht="14.25" customHeight="1">
      <c r="A57" s="169">
        <v>23.0</v>
      </c>
      <c r="B57" s="89" t="s">
        <v>15</v>
      </c>
      <c r="C57" s="30" t="s">
        <v>392</v>
      </c>
      <c r="D57" s="89" t="s">
        <v>20</v>
      </c>
      <c r="E57" s="89" t="s">
        <v>393</v>
      </c>
      <c r="F57" s="89" t="s">
        <v>21</v>
      </c>
      <c r="G57" s="89" t="s">
        <v>15</v>
      </c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</row>
    <row r="58" ht="14.25" customHeight="1">
      <c r="A58" s="169">
        <v>24.0</v>
      </c>
      <c r="B58" s="89" t="s">
        <v>12</v>
      </c>
      <c r="C58" s="30" t="s">
        <v>394</v>
      </c>
      <c r="D58" s="89" t="s">
        <v>12</v>
      </c>
      <c r="E58" s="89" t="s">
        <v>395</v>
      </c>
      <c r="F58" s="89" t="s">
        <v>21</v>
      </c>
      <c r="G58" s="89" t="s">
        <v>396</v>
      </c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</row>
    <row r="59" ht="14.25" customHeight="1">
      <c r="A59" s="169">
        <v>25.0</v>
      </c>
      <c r="B59" s="89" t="s">
        <v>9</v>
      </c>
      <c r="C59" s="30" t="s">
        <v>26</v>
      </c>
      <c r="D59" s="89" t="s">
        <v>26</v>
      </c>
      <c r="E59" s="89" t="s">
        <v>26</v>
      </c>
      <c r="F59" s="89" t="s">
        <v>26</v>
      </c>
      <c r="G59" s="89" t="s">
        <v>26</v>
      </c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</row>
    <row r="60" ht="14.2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</row>
    <row r="61" ht="14.2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</row>
    <row r="62" ht="14.2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</row>
    <row r="63" ht="14.2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</row>
    <row r="64" ht="14.2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</row>
    <row r="65" ht="14.2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</row>
    <row r="66" ht="14.2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</row>
    <row r="67" ht="14.2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</row>
    <row r="68" ht="14.2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</row>
    <row r="69" ht="14.2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</row>
    <row r="70" ht="14.2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</row>
    <row r="71" ht="14.2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</row>
    <row r="72" ht="14.2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</row>
    <row r="73" ht="14.2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</row>
    <row r="74" ht="14.2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</row>
    <row r="75" ht="14.2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</row>
    <row r="76" ht="14.2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</row>
    <row r="77" ht="14.2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</row>
    <row r="78" ht="14.2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</row>
    <row r="79" ht="14.2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</row>
    <row r="80" ht="14.2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</row>
    <row r="81" ht="14.2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</row>
    <row r="82" ht="14.2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</row>
    <row r="83" ht="14.2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</row>
    <row r="84" ht="14.2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</row>
    <row r="85" ht="14.2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</row>
    <row r="86" ht="14.2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</row>
    <row r="87" ht="14.2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</row>
    <row r="88" ht="14.2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</row>
    <row r="89" ht="14.2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</row>
    <row r="90" ht="14.2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</row>
    <row r="91" ht="14.2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</row>
    <row r="92" ht="14.2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</row>
    <row r="93" ht="14.2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</row>
    <row r="94" ht="14.2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</row>
    <row r="95" ht="14.2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</row>
    <row r="96" ht="14.2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</row>
    <row r="97" ht="14.2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</row>
    <row r="98" ht="14.2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</row>
    <row r="99" ht="14.2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</row>
    <row r="100" ht="14.2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</row>
    <row r="101" ht="14.2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</row>
    <row r="102" ht="14.2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</row>
    <row r="103" ht="14.2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</row>
    <row r="104" ht="14.2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</row>
    <row r="105" ht="14.2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</row>
    <row r="106" ht="14.2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</row>
    <row r="107" ht="14.2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</row>
    <row r="108" ht="14.2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</row>
    <row r="109" ht="14.2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</row>
    <row r="110" ht="14.2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</row>
    <row r="111" ht="14.2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</row>
    <row r="112" ht="14.2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</row>
    <row r="113" ht="14.2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</row>
    <row r="114" ht="14.2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</row>
    <row r="115" ht="14.2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</row>
    <row r="116" ht="14.2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</row>
    <row r="117" ht="14.2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</row>
    <row r="118" ht="14.2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</row>
    <row r="119" ht="14.2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</row>
    <row r="120" ht="14.2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</row>
    <row r="121" ht="14.2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</row>
    <row r="122" ht="14.2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</row>
    <row r="123" ht="14.2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</row>
    <row r="124" ht="14.2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</row>
    <row r="125" ht="14.2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</row>
    <row r="126" ht="14.2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</row>
    <row r="127" ht="14.2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</row>
    <row r="128" ht="14.2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</row>
    <row r="129" ht="14.2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</row>
    <row r="130" ht="14.2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</row>
    <row r="131" ht="14.2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</row>
    <row r="132" ht="14.2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</row>
    <row r="133" ht="14.2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</row>
    <row r="134" ht="14.2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</row>
    <row r="135" ht="14.2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</row>
    <row r="136" ht="14.2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</row>
    <row r="137" ht="14.2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</row>
    <row r="138" ht="14.2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</row>
    <row r="139" ht="14.2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</row>
    <row r="140" ht="14.2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</row>
    <row r="141" ht="14.2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</row>
    <row r="142" ht="14.2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</row>
    <row r="143" ht="14.2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</row>
    <row r="144" ht="14.2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</row>
    <row r="145" ht="14.2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</row>
    <row r="146" ht="14.2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</row>
    <row r="147" ht="14.2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</row>
    <row r="148" ht="14.2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</row>
    <row r="149" ht="14.2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</row>
    <row r="150" ht="14.2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</row>
    <row r="151" ht="14.2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</row>
    <row r="152" ht="14.2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</row>
    <row r="153" ht="14.2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</row>
    <row r="154" ht="14.2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</row>
    <row r="155" ht="14.2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</row>
    <row r="156" ht="14.2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</row>
    <row r="157" ht="14.2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</row>
    <row r="158" ht="14.2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</row>
    <row r="159" ht="14.2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</row>
    <row r="160" ht="14.2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</row>
    <row r="161" ht="14.2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</row>
    <row r="162" ht="14.2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</row>
    <row r="163" ht="14.2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</row>
    <row r="164" ht="14.2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</row>
    <row r="165" ht="14.2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</row>
    <row r="166" ht="14.2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</row>
    <row r="167" ht="14.2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</row>
    <row r="168" ht="14.2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</row>
    <row r="169" ht="14.2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</row>
    <row r="170" ht="14.2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</row>
    <row r="171" ht="14.2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</row>
    <row r="172" ht="14.2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</row>
    <row r="173" ht="14.2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</row>
    <row r="174" ht="14.2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</row>
    <row r="175" ht="14.2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</row>
    <row r="176" ht="14.2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</row>
    <row r="177" ht="14.2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</row>
    <row r="178" ht="14.2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</row>
    <row r="179" ht="14.2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</row>
    <row r="180" ht="14.2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</row>
    <row r="181" ht="14.2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</row>
    <row r="182" ht="14.2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</row>
    <row r="183" ht="14.2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</row>
    <row r="184" ht="14.2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</row>
    <row r="185" ht="14.2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</row>
    <row r="186" ht="14.2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</row>
    <row r="187" ht="14.2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</row>
    <row r="188" ht="14.2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</row>
    <row r="189" ht="14.2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</row>
    <row r="190" ht="14.2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</row>
    <row r="191" ht="14.2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</row>
    <row r="192" ht="14.2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</row>
    <row r="193" ht="14.2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</row>
    <row r="194" ht="14.2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</row>
    <row r="195" ht="14.2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</row>
    <row r="196" ht="14.2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</row>
    <row r="197" ht="14.2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</row>
    <row r="198" ht="14.2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</row>
    <row r="199" ht="14.2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</row>
    <row r="200" ht="14.2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</row>
    <row r="201" ht="14.2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</row>
    <row r="202" ht="14.2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</row>
    <row r="203" ht="14.2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</row>
    <row r="204" ht="14.2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</row>
    <row r="205" ht="14.2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</row>
    <row r="206" ht="14.2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</row>
    <row r="207" ht="14.2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</row>
    <row r="208" ht="14.2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</row>
    <row r="209" ht="14.2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</row>
    <row r="210" ht="14.2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</row>
    <row r="211" ht="14.2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</row>
    <row r="212" ht="14.2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</row>
    <row r="213" ht="14.2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</row>
    <row r="214" ht="14.2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</row>
    <row r="215" ht="14.2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</row>
    <row r="216" ht="14.2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</row>
    <row r="217" ht="14.2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</row>
    <row r="218" ht="14.2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</row>
    <row r="219" ht="14.2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</row>
    <row r="220" ht="14.2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</row>
    <row r="221" ht="14.2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</row>
    <row r="222" ht="14.2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</row>
    <row r="223" ht="14.2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</row>
    <row r="224" ht="14.2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</row>
    <row r="225" ht="14.2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</row>
    <row r="226" ht="14.2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</row>
    <row r="227" ht="14.2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</row>
    <row r="228" ht="14.2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</row>
    <row r="229" ht="14.2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</row>
    <row r="230" ht="14.2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</row>
    <row r="231" ht="14.2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</row>
    <row r="232" ht="14.2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</row>
    <row r="233" ht="14.2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</row>
    <row r="234" ht="14.2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</row>
    <row r="235" ht="14.2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</row>
    <row r="236" ht="14.2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</row>
    <row r="237" ht="14.2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</row>
    <row r="238" ht="14.2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</row>
    <row r="239" ht="14.2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</row>
    <row r="240" ht="14.2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</row>
    <row r="241" ht="14.2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</row>
    <row r="242" ht="14.2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</row>
    <row r="243" ht="14.2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</row>
    <row r="244" ht="14.2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</row>
    <row r="245" ht="14.2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</row>
    <row r="246" ht="14.2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</row>
    <row r="247" ht="14.2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</row>
    <row r="248" ht="14.2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</row>
    <row r="249" ht="14.2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</row>
    <row r="250" ht="14.2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</row>
    <row r="251" ht="14.2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</row>
    <row r="252" ht="14.2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</row>
    <row r="253" ht="14.2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</row>
    <row r="254" ht="14.2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</row>
    <row r="255" ht="14.2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</row>
    <row r="256" ht="14.2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</row>
    <row r="257" ht="14.2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</row>
    <row r="258" ht="14.2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</row>
    <row r="259" ht="14.2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30:U30">
    <cfRule type="cellIs" dxfId="2" priority="1" operator="greaterThan">
      <formula>10</formula>
    </cfRule>
  </conditionalFormatting>
  <conditionalFormatting sqref="B30:U30">
    <cfRule type="cellIs" dxfId="3" priority="2" operator="lessThanOrEqual">
      <formula>10</formula>
    </cfRule>
  </conditionalFormatting>
  <printOptions/>
  <pageMargins bottom="0.787401575" footer="0.0" header="0.0" left="0.7" right="0.7" top="0.7874015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7.75"/>
    <col customWidth="1" min="3" max="3" width="11.25"/>
    <col customWidth="1" min="4" max="4" width="5.25"/>
    <col customWidth="1" min="5" max="5" width="50.88"/>
    <col customWidth="1" min="6" max="26" width="14.38"/>
  </cols>
  <sheetData>
    <row r="1" ht="14.25" customHeight="1">
      <c r="A1" s="66" t="s">
        <v>152</v>
      </c>
      <c r="B1" s="66" t="s">
        <v>397</v>
      </c>
      <c r="C1" s="66" t="s">
        <v>398</v>
      </c>
      <c r="D1" s="66" t="s">
        <v>136</v>
      </c>
      <c r="E1" s="66" t="s">
        <v>399</v>
      </c>
    </row>
    <row r="2" ht="14.25" customHeight="1">
      <c r="A2" s="30">
        <v>1.0</v>
      </c>
      <c r="B2" s="30" t="s">
        <v>400</v>
      </c>
      <c r="C2" s="30">
        <v>24.0</v>
      </c>
      <c r="D2" s="30" t="s">
        <v>2</v>
      </c>
      <c r="E2" s="30" t="s">
        <v>401</v>
      </c>
    </row>
    <row r="3" ht="14.25" customHeight="1">
      <c r="A3" s="30">
        <v>2.0</v>
      </c>
      <c r="B3" s="30" t="s">
        <v>402</v>
      </c>
      <c r="C3" s="30">
        <v>24.0</v>
      </c>
      <c r="D3" s="30" t="s">
        <v>2</v>
      </c>
      <c r="E3" s="30" t="s">
        <v>403</v>
      </c>
    </row>
    <row r="4" ht="14.25" customHeight="1">
      <c r="A4" s="30"/>
      <c r="B4" s="30"/>
      <c r="C4" s="30"/>
      <c r="D4" s="30"/>
      <c r="E4" s="30"/>
    </row>
    <row r="5" ht="14.25" customHeight="1">
      <c r="A5" s="30"/>
      <c r="B5" s="30"/>
      <c r="C5" s="30"/>
      <c r="D5" s="30"/>
      <c r="E5" s="30"/>
    </row>
    <row r="6" ht="14.25" customHeight="1">
      <c r="A6" s="30"/>
      <c r="B6" s="30"/>
      <c r="C6" s="30"/>
      <c r="D6" s="30"/>
      <c r="E6" s="30"/>
    </row>
    <row r="7" ht="14.25" customHeight="1">
      <c r="A7" s="30"/>
      <c r="B7" s="30"/>
      <c r="C7" s="30"/>
      <c r="D7" s="30"/>
      <c r="E7" s="30"/>
    </row>
    <row r="8" ht="14.25" customHeight="1">
      <c r="A8" s="30"/>
      <c r="B8" s="30"/>
      <c r="C8" s="30"/>
      <c r="D8" s="30"/>
      <c r="E8" s="30"/>
    </row>
    <row r="9" ht="14.25" customHeight="1">
      <c r="A9" s="30"/>
      <c r="B9" s="30"/>
      <c r="C9" s="30"/>
      <c r="D9" s="30"/>
      <c r="E9" s="30"/>
    </row>
    <row r="10" ht="14.25" customHeight="1">
      <c r="A10" s="30"/>
      <c r="B10" s="30"/>
      <c r="C10" s="30"/>
      <c r="D10" s="30"/>
      <c r="E10" s="30"/>
    </row>
    <row r="11" ht="14.25" customHeight="1">
      <c r="A11" s="30"/>
      <c r="B11" s="30"/>
      <c r="C11" s="30"/>
      <c r="D11" s="30"/>
      <c r="E11" s="30"/>
    </row>
    <row r="12" ht="14.25" customHeight="1">
      <c r="A12" s="30"/>
      <c r="B12" s="30"/>
      <c r="C12" s="30"/>
      <c r="D12" s="30"/>
      <c r="E12" s="30"/>
    </row>
    <row r="13" ht="14.25" customHeight="1">
      <c r="A13" s="30"/>
      <c r="B13" s="30"/>
      <c r="C13" s="30"/>
      <c r="D13" s="30"/>
      <c r="E13" s="30"/>
    </row>
    <row r="14" ht="14.25" customHeight="1">
      <c r="A14" s="30"/>
      <c r="B14" s="30"/>
      <c r="C14" s="30"/>
      <c r="D14" s="30"/>
      <c r="E14" s="30"/>
    </row>
    <row r="15" ht="14.25" customHeight="1">
      <c r="A15" s="30"/>
      <c r="B15" s="30"/>
      <c r="C15" s="30"/>
      <c r="D15" s="30"/>
      <c r="E15" s="30"/>
    </row>
    <row r="16" ht="14.25" customHeight="1">
      <c r="A16" s="30"/>
      <c r="B16" s="30"/>
      <c r="C16" s="30"/>
      <c r="D16" s="30"/>
      <c r="E16" s="30"/>
    </row>
    <row r="17" ht="14.25" customHeight="1">
      <c r="A17" s="30"/>
      <c r="B17" s="30"/>
      <c r="C17" s="30"/>
      <c r="D17" s="30"/>
      <c r="E17" s="30"/>
    </row>
    <row r="18" ht="14.25" customHeight="1">
      <c r="A18" s="30"/>
      <c r="B18" s="30"/>
      <c r="C18" s="30"/>
      <c r="D18" s="30"/>
      <c r="E18" s="30"/>
    </row>
    <row r="19" ht="14.25" customHeight="1">
      <c r="A19" s="30"/>
      <c r="B19" s="30"/>
      <c r="C19" s="30"/>
      <c r="D19" s="30"/>
      <c r="E19" s="30"/>
    </row>
    <row r="20" ht="14.25" customHeight="1">
      <c r="A20" s="30"/>
      <c r="B20" s="30"/>
      <c r="C20" s="30"/>
      <c r="D20" s="30"/>
      <c r="E20" s="30"/>
    </row>
    <row r="21" ht="14.25" customHeight="1">
      <c r="A21" s="30"/>
      <c r="B21" s="30"/>
      <c r="C21" s="30"/>
      <c r="D21" s="30"/>
      <c r="E21" s="30"/>
    </row>
    <row r="22" ht="14.25" customHeight="1">
      <c r="A22" s="30"/>
      <c r="B22" s="30"/>
      <c r="C22" s="30"/>
      <c r="D22" s="30"/>
      <c r="E22" s="30"/>
    </row>
    <row r="23" ht="14.25" customHeight="1">
      <c r="A23" s="30"/>
      <c r="B23" s="30"/>
      <c r="C23" s="30"/>
      <c r="D23" s="30"/>
      <c r="E23" s="30"/>
    </row>
    <row r="24" ht="14.25" customHeight="1">
      <c r="A24" s="30"/>
      <c r="B24" s="30"/>
      <c r="C24" s="30"/>
      <c r="D24" s="30"/>
      <c r="E24" s="30"/>
    </row>
    <row r="25" ht="14.25" customHeight="1">
      <c r="A25" s="30"/>
      <c r="B25" s="30"/>
      <c r="C25" s="30"/>
      <c r="D25" s="30"/>
      <c r="E25" s="30"/>
    </row>
    <row r="26" ht="14.25" customHeight="1">
      <c r="A26" s="30"/>
      <c r="B26" s="30"/>
      <c r="C26" s="30"/>
      <c r="D26" s="30"/>
      <c r="E26" s="30"/>
    </row>
    <row r="27" ht="14.25" customHeight="1">
      <c r="A27" s="30"/>
      <c r="B27" s="30"/>
      <c r="C27" s="30"/>
      <c r="D27" s="30"/>
      <c r="E27" s="30"/>
    </row>
    <row r="28" ht="14.25" customHeight="1">
      <c r="A28" s="30"/>
      <c r="B28" s="30"/>
      <c r="C28" s="30"/>
      <c r="D28" s="30"/>
      <c r="E28" s="30"/>
    </row>
    <row r="29" ht="14.25" customHeight="1">
      <c r="A29" s="30"/>
      <c r="B29" s="30"/>
      <c r="C29" s="30"/>
      <c r="D29" s="30"/>
      <c r="E29" s="30"/>
    </row>
    <row r="30" ht="14.25" customHeight="1">
      <c r="A30" s="30"/>
      <c r="B30" s="30"/>
      <c r="C30" s="30"/>
      <c r="D30" s="30"/>
      <c r="E30" s="30"/>
    </row>
    <row r="31" ht="14.25" customHeight="1">
      <c r="A31" s="30"/>
      <c r="B31" s="30"/>
      <c r="C31" s="30"/>
      <c r="D31" s="30"/>
      <c r="E31" s="30"/>
    </row>
    <row r="32" ht="14.25" customHeight="1">
      <c r="A32" s="30"/>
      <c r="B32" s="30"/>
      <c r="C32" s="30"/>
      <c r="D32" s="30"/>
      <c r="E32" s="30"/>
    </row>
    <row r="33" ht="14.25" customHeight="1">
      <c r="A33" s="30"/>
      <c r="B33" s="30"/>
      <c r="C33" s="30"/>
      <c r="D33" s="30"/>
      <c r="E33" s="30"/>
    </row>
    <row r="34" ht="14.25" customHeight="1">
      <c r="A34" s="30"/>
      <c r="B34" s="30"/>
      <c r="C34" s="30"/>
      <c r="D34" s="30"/>
      <c r="E34" s="30"/>
    </row>
    <row r="35" ht="14.25" customHeight="1">
      <c r="A35" s="30"/>
      <c r="B35" s="30"/>
      <c r="C35" s="30"/>
      <c r="D35" s="30"/>
      <c r="E35" s="30"/>
    </row>
    <row r="36" ht="14.25" customHeight="1">
      <c r="A36" s="30"/>
      <c r="B36" s="30"/>
      <c r="C36" s="30"/>
      <c r="D36" s="30"/>
      <c r="E36" s="30"/>
    </row>
    <row r="37" ht="14.25" customHeight="1">
      <c r="A37" s="30"/>
      <c r="B37" s="30"/>
      <c r="C37" s="30"/>
      <c r="D37" s="30"/>
      <c r="E37" s="30"/>
    </row>
    <row r="38" ht="14.25" customHeight="1">
      <c r="A38" s="30"/>
      <c r="B38" s="30"/>
      <c r="C38" s="30"/>
      <c r="D38" s="30"/>
      <c r="E38" s="30"/>
    </row>
    <row r="39" ht="14.25" customHeight="1">
      <c r="A39" s="30"/>
      <c r="B39" s="30"/>
      <c r="C39" s="30"/>
      <c r="D39" s="30"/>
      <c r="E39" s="30"/>
    </row>
    <row r="40" ht="14.25" customHeight="1">
      <c r="A40" s="30"/>
      <c r="B40" s="30"/>
      <c r="C40" s="30"/>
      <c r="D40" s="30"/>
      <c r="E40" s="30"/>
    </row>
    <row r="41" ht="14.25" customHeight="1">
      <c r="A41" s="30"/>
      <c r="B41" s="30"/>
      <c r="C41" s="30"/>
      <c r="D41" s="30"/>
      <c r="E41" s="30"/>
    </row>
    <row r="42" ht="14.25" customHeight="1">
      <c r="A42" s="30"/>
      <c r="B42" s="30"/>
      <c r="C42" s="30"/>
      <c r="D42" s="30"/>
      <c r="E42" s="30"/>
    </row>
    <row r="43" ht="14.25" customHeight="1">
      <c r="A43" s="30"/>
      <c r="B43" s="30"/>
      <c r="C43" s="30"/>
      <c r="D43" s="30"/>
      <c r="E43" s="30"/>
    </row>
    <row r="44" ht="14.25" customHeight="1">
      <c r="A44" s="30"/>
      <c r="B44" s="30"/>
      <c r="C44" s="30"/>
      <c r="D44" s="30"/>
      <c r="E44" s="30"/>
    </row>
    <row r="45" ht="14.25" customHeight="1">
      <c r="A45" s="30"/>
      <c r="B45" s="30"/>
      <c r="C45" s="30"/>
      <c r="D45" s="30"/>
      <c r="E45" s="30"/>
    </row>
    <row r="46" ht="14.25" customHeight="1">
      <c r="A46" s="30"/>
      <c r="B46" s="30"/>
      <c r="C46" s="30"/>
      <c r="D46" s="30"/>
      <c r="E46" s="30"/>
    </row>
    <row r="47" ht="14.25" customHeight="1">
      <c r="A47" s="30"/>
      <c r="B47" s="30"/>
      <c r="C47" s="30"/>
      <c r="D47" s="30"/>
      <c r="E47" s="30"/>
    </row>
    <row r="48" ht="14.25" customHeight="1">
      <c r="A48" s="30"/>
      <c r="B48" s="30"/>
      <c r="C48" s="30"/>
      <c r="D48" s="30"/>
      <c r="E48" s="30"/>
    </row>
    <row r="49" ht="14.25" customHeight="1">
      <c r="A49" s="30"/>
      <c r="B49" s="30"/>
      <c r="C49" s="30"/>
      <c r="D49" s="30"/>
      <c r="E49" s="30"/>
    </row>
    <row r="50" ht="14.25" customHeight="1">
      <c r="A50" s="30"/>
      <c r="B50" s="30"/>
      <c r="C50" s="30"/>
      <c r="D50" s="30"/>
      <c r="E50" s="30"/>
    </row>
    <row r="51" ht="14.25" customHeight="1">
      <c r="A51" s="30"/>
      <c r="B51" s="30"/>
      <c r="C51" s="30"/>
      <c r="D51" s="30"/>
      <c r="E51" s="30"/>
    </row>
    <row r="52" ht="14.25" customHeight="1">
      <c r="A52" s="30"/>
      <c r="B52" s="30"/>
      <c r="C52" s="30"/>
      <c r="D52" s="30"/>
      <c r="E52" s="30"/>
    </row>
    <row r="53" ht="14.25" customHeight="1">
      <c r="A53" s="30"/>
      <c r="B53" s="30"/>
      <c r="C53" s="30"/>
      <c r="D53" s="30"/>
      <c r="E53" s="30"/>
    </row>
    <row r="54" ht="14.25" customHeight="1">
      <c r="A54" s="30"/>
      <c r="B54" s="30"/>
      <c r="C54" s="30"/>
      <c r="D54" s="30"/>
      <c r="E54" s="30"/>
    </row>
    <row r="55" ht="14.25" customHeight="1">
      <c r="A55" s="30"/>
      <c r="B55" s="30"/>
      <c r="C55" s="30"/>
      <c r="D55" s="30"/>
      <c r="E55" s="30"/>
    </row>
    <row r="56" ht="14.25" customHeight="1">
      <c r="A56" s="30"/>
      <c r="B56" s="30"/>
      <c r="C56" s="30"/>
      <c r="D56" s="30"/>
      <c r="E56" s="30"/>
    </row>
    <row r="57" ht="14.25" customHeight="1">
      <c r="A57" s="30"/>
      <c r="B57" s="30"/>
      <c r="C57" s="30"/>
      <c r="D57" s="30"/>
      <c r="E57" s="30"/>
    </row>
    <row r="58" ht="14.25" customHeight="1">
      <c r="A58" s="30"/>
      <c r="B58" s="30"/>
      <c r="C58" s="30"/>
      <c r="D58" s="30"/>
      <c r="E58" s="30"/>
    </row>
    <row r="59" ht="14.25" customHeight="1">
      <c r="A59" s="30"/>
      <c r="B59" s="30"/>
      <c r="C59" s="30"/>
      <c r="D59" s="30"/>
      <c r="E59" s="30"/>
    </row>
    <row r="60" ht="14.25" customHeight="1">
      <c r="A60" s="30"/>
      <c r="B60" s="30"/>
      <c r="C60" s="30"/>
      <c r="D60" s="30"/>
      <c r="E60" s="30"/>
    </row>
    <row r="61" ht="14.25" customHeight="1">
      <c r="A61" s="30"/>
      <c r="B61" s="30"/>
      <c r="C61" s="30"/>
      <c r="D61" s="30"/>
      <c r="E61" s="30"/>
    </row>
    <row r="62" ht="14.25" customHeight="1">
      <c r="A62" s="30"/>
      <c r="B62" s="30"/>
      <c r="C62" s="30"/>
      <c r="D62" s="30"/>
      <c r="E62" s="30"/>
    </row>
    <row r="63" ht="14.25" customHeight="1">
      <c r="A63" s="30"/>
      <c r="B63" s="30"/>
      <c r="C63" s="30"/>
      <c r="D63" s="30"/>
      <c r="E63" s="30"/>
    </row>
    <row r="64" ht="14.25" customHeight="1">
      <c r="A64" s="30"/>
      <c r="B64" s="30"/>
      <c r="C64" s="30"/>
      <c r="D64" s="30"/>
      <c r="E64" s="30"/>
    </row>
    <row r="65" ht="14.25" customHeight="1">
      <c r="A65" s="30"/>
      <c r="B65" s="30"/>
      <c r="C65" s="30"/>
      <c r="D65" s="30"/>
      <c r="E65" s="30"/>
    </row>
    <row r="66" ht="14.25" customHeight="1">
      <c r="A66" s="30"/>
      <c r="B66" s="30"/>
      <c r="C66" s="30"/>
      <c r="D66" s="30"/>
      <c r="E66" s="30"/>
    </row>
    <row r="67" ht="14.25" customHeight="1">
      <c r="A67" s="30"/>
      <c r="B67" s="30"/>
      <c r="C67" s="30"/>
      <c r="D67" s="30"/>
      <c r="E67" s="30"/>
    </row>
    <row r="68" ht="14.25" customHeight="1">
      <c r="A68" s="30"/>
      <c r="B68" s="30"/>
      <c r="C68" s="30"/>
      <c r="D68" s="30"/>
      <c r="E68" s="30"/>
    </row>
    <row r="69" ht="14.25" customHeight="1">
      <c r="A69" s="30"/>
      <c r="B69" s="30"/>
      <c r="C69" s="30"/>
      <c r="D69" s="30"/>
      <c r="E69" s="30"/>
    </row>
    <row r="70" ht="14.25" customHeight="1">
      <c r="A70" s="30"/>
      <c r="B70" s="30"/>
      <c r="C70" s="30"/>
      <c r="D70" s="30"/>
      <c r="E70" s="30"/>
    </row>
    <row r="71" ht="14.25" customHeight="1">
      <c r="A71" s="30"/>
      <c r="B71" s="30"/>
      <c r="C71" s="30"/>
      <c r="D71" s="30"/>
      <c r="E71" s="30"/>
    </row>
    <row r="72" ht="14.25" customHeight="1">
      <c r="A72" s="30"/>
      <c r="B72" s="30"/>
      <c r="C72" s="30"/>
      <c r="D72" s="30"/>
      <c r="E72" s="30"/>
    </row>
    <row r="73" ht="14.25" customHeight="1">
      <c r="A73" s="30"/>
      <c r="B73" s="30"/>
      <c r="C73" s="30"/>
      <c r="D73" s="30"/>
      <c r="E73" s="30"/>
    </row>
    <row r="74" ht="14.25" customHeight="1">
      <c r="A74" s="30"/>
      <c r="B74" s="30"/>
      <c r="C74" s="30"/>
      <c r="D74" s="30"/>
      <c r="E74" s="30"/>
    </row>
    <row r="75" ht="14.25" customHeight="1">
      <c r="A75" s="30"/>
      <c r="B75" s="30"/>
      <c r="C75" s="30"/>
      <c r="D75" s="30"/>
      <c r="E75" s="30"/>
    </row>
    <row r="76" ht="14.25" customHeight="1">
      <c r="A76" s="30"/>
      <c r="B76" s="30"/>
      <c r="C76" s="30"/>
      <c r="D76" s="30"/>
      <c r="E76" s="30"/>
    </row>
    <row r="77" ht="14.25" customHeight="1">
      <c r="A77" s="30"/>
      <c r="B77" s="30"/>
      <c r="C77" s="30"/>
      <c r="D77" s="30"/>
      <c r="E77" s="30"/>
    </row>
    <row r="78" ht="14.25" customHeight="1">
      <c r="A78" s="30"/>
      <c r="B78" s="30"/>
      <c r="C78" s="30"/>
      <c r="D78" s="30"/>
      <c r="E78" s="30"/>
    </row>
    <row r="79" ht="14.25" customHeight="1">
      <c r="A79" s="30"/>
      <c r="B79" s="30"/>
      <c r="C79" s="30"/>
      <c r="D79" s="30"/>
      <c r="E79" s="30"/>
    </row>
    <row r="80" ht="14.25" customHeight="1">
      <c r="A80" s="30"/>
      <c r="B80" s="30"/>
      <c r="C80" s="30"/>
      <c r="D80" s="30"/>
      <c r="E80" s="30"/>
    </row>
    <row r="81" ht="14.25" customHeight="1">
      <c r="A81" s="30"/>
      <c r="B81" s="30"/>
      <c r="C81" s="30"/>
      <c r="D81" s="30"/>
      <c r="E81" s="30"/>
    </row>
    <row r="82" ht="14.25" customHeight="1">
      <c r="A82" s="30"/>
      <c r="B82" s="30"/>
      <c r="C82" s="30"/>
      <c r="D82" s="30"/>
      <c r="E82" s="30"/>
    </row>
    <row r="83" ht="14.25" customHeight="1">
      <c r="A83" s="30"/>
      <c r="B83" s="30"/>
      <c r="C83" s="30"/>
      <c r="D83" s="30"/>
      <c r="E83" s="30"/>
    </row>
    <row r="84" ht="14.25" customHeight="1">
      <c r="A84" s="30"/>
      <c r="B84" s="30"/>
      <c r="C84" s="30"/>
      <c r="D84" s="30"/>
      <c r="E84" s="30"/>
    </row>
    <row r="85" ht="14.25" customHeight="1">
      <c r="A85" s="30"/>
      <c r="B85" s="30"/>
      <c r="C85" s="30"/>
      <c r="D85" s="30"/>
      <c r="E85" s="30"/>
    </row>
    <row r="86" ht="14.25" customHeight="1">
      <c r="A86" s="30"/>
      <c r="B86" s="30"/>
      <c r="C86" s="30"/>
      <c r="D86" s="30"/>
      <c r="E86" s="30"/>
    </row>
    <row r="87" ht="14.25" customHeight="1">
      <c r="A87" s="30"/>
      <c r="B87" s="30"/>
      <c r="C87" s="30"/>
      <c r="D87" s="30"/>
      <c r="E87" s="30"/>
    </row>
    <row r="88" ht="14.25" customHeight="1">
      <c r="A88" s="30"/>
      <c r="B88" s="30"/>
      <c r="C88" s="30"/>
      <c r="D88" s="30"/>
      <c r="E88" s="30"/>
    </row>
    <row r="89" ht="14.25" customHeight="1">
      <c r="A89" s="30"/>
      <c r="B89" s="30"/>
      <c r="C89" s="30"/>
      <c r="D89" s="30"/>
      <c r="E89" s="30"/>
    </row>
    <row r="90" ht="14.25" customHeight="1">
      <c r="A90" s="30"/>
      <c r="B90" s="30"/>
      <c r="C90" s="30"/>
      <c r="D90" s="30"/>
      <c r="E90" s="30"/>
    </row>
    <row r="91" ht="14.25" customHeight="1">
      <c r="A91" s="30"/>
      <c r="B91" s="30"/>
      <c r="C91" s="30"/>
      <c r="D91" s="30"/>
      <c r="E91" s="30"/>
    </row>
    <row r="92" ht="14.25" customHeight="1">
      <c r="A92" s="30"/>
      <c r="B92" s="30"/>
      <c r="C92" s="30"/>
      <c r="D92" s="30"/>
      <c r="E92" s="30"/>
    </row>
    <row r="93" ht="14.25" customHeight="1">
      <c r="A93" s="30"/>
      <c r="B93" s="30"/>
      <c r="C93" s="30"/>
      <c r="D93" s="30"/>
      <c r="E93" s="30"/>
    </row>
    <row r="94" ht="14.25" customHeight="1">
      <c r="A94" s="30"/>
      <c r="B94" s="30"/>
      <c r="C94" s="30"/>
      <c r="D94" s="30"/>
      <c r="E94" s="30"/>
    </row>
    <row r="95" ht="14.25" customHeight="1">
      <c r="A95" s="30"/>
      <c r="B95" s="30"/>
      <c r="C95" s="30"/>
      <c r="D95" s="30"/>
      <c r="E95" s="30"/>
    </row>
    <row r="96" ht="14.25" customHeight="1">
      <c r="A96" s="30"/>
      <c r="B96" s="30"/>
      <c r="C96" s="30"/>
      <c r="D96" s="30"/>
      <c r="E96" s="30"/>
    </row>
    <row r="97" ht="14.25" customHeight="1">
      <c r="A97" s="30"/>
      <c r="B97" s="30"/>
      <c r="C97" s="30"/>
      <c r="D97" s="30"/>
      <c r="E97" s="30"/>
    </row>
    <row r="98" ht="14.25" customHeight="1">
      <c r="A98" s="30"/>
      <c r="B98" s="30"/>
      <c r="C98" s="30"/>
      <c r="D98" s="30"/>
      <c r="E98" s="30"/>
    </row>
    <row r="99" ht="14.25" customHeight="1">
      <c r="A99" s="30"/>
      <c r="B99" s="30"/>
      <c r="C99" s="30"/>
      <c r="D99" s="30"/>
      <c r="E99" s="30"/>
    </row>
    <row r="100" ht="14.25" customHeight="1">
      <c r="A100" s="30"/>
      <c r="B100" s="30"/>
      <c r="C100" s="30"/>
      <c r="D100" s="30"/>
      <c r="E100" s="30"/>
    </row>
    <row r="101" ht="14.25" customHeight="1">
      <c r="A101" s="30"/>
      <c r="B101" s="30"/>
      <c r="C101" s="30"/>
      <c r="D101" s="30"/>
      <c r="E101" s="30"/>
    </row>
    <row r="102" ht="14.25" customHeight="1">
      <c r="A102" s="30"/>
      <c r="B102" s="30"/>
      <c r="C102" s="30"/>
      <c r="D102" s="30"/>
      <c r="E102" s="30"/>
    </row>
    <row r="103" ht="14.25" customHeight="1">
      <c r="A103" s="30"/>
      <c r="B103" s="30"/>
      <c r="C103" s="30"/>
      <c r="D103" s="30"/>
      <c r="E103" s="30"/>
    </row>
    <row r="104" ht="14.25" customHeight="1">
      <c r="A104" s="30"/>
      <c r="B104" s="30"/>
      <c r="C104" s="30"/>
      <c r="D104" s="30"/>
      <c r="E104" s="30"/>
    </row>
    <row r="105" ht="14.25" customHeight="1">
      <c r="A105" s="30"/>
      <c r="B105" s="30"/>
      <c r="C105" s="30"/>
      <c r="D105" s="30"/>
      <c r="E105" s="30"/>
    </row>
    <row r="106" ht="14.25" customHeight="1">
      <c r="A106" s="30"/>
      <c r="B106" s="30"/>
      <c r="C106" s="30"/>
      <c r="D106" s="30"/>
      <c r="E106" s="30"/>
    </row>
    <row r="107" ht="14.25" customHeight="1">
      <c r="A107" s="30"/>
      <c r="B107" s="30"/>
      <c r="C107" s="30"/>
      <c r="D107" s="30"/>
      <c r="E107" s="30"/>
    </row>
    <row r="108" ht="14.25" customHeight="1">
      <c r="A108" s="30"/>
      <c r="B108" s="30"/>
      <c r="C108" s="30"/>
      <c r="D108" s="30"/>
      <c r="E108" s="30"/>
    </row>
    <row r="109" ht="14.25" customHeight="1">
      <c r="A109" s="30"/>
      <c r="B109" s="30"/>
      <c r="C109" s="30"/>
      <c r="D109" s="30"/>
      <c r="E109" s="30"/>
    </row>
    <row r="110" ht="14.25" customHeight="1">
      <c r="A110" s="30"/>
      <c r="B110" s="30"/>
      <c r="C110" s="30"/>
      <c r="D110" s="30"/>
      <c r="E110" s="30"/>
    </row>
    <row r="111" ht="14.25" customHeight="1">
      <c r="A111" s="30"/>
      <c r="B111" s="30"/>
      <c r="C111" s="30"/>
      <c r="D111" s="30"/>
      <c r="E111" s="30"/>
    </row>
    <row r="112" ht="14.25" customHeight="1">
      <c r="A112" s="30"/>
      <c r="B112" s="30"/>
      <c r="C112" s="30"/>
      <c r="D112" s="30"/>
      <c r="E112" s="30"/>
    </row>
    <row r="113" ht="14.25" customHeight="1">
      <c r="A113" s="30"/>
      <c r="B113" s="30"/>
      <c r="C113" s="30"/>
      <c r="D113" s="30"/>
      <c r="E113" s="30"/>
    </row>
    <row r="114" ht="14.25" customHeight="1">
      <c r="A114" s="30"/>
      <c r="B114" s="30"/>
      <c r="C114" s="30"/>
      <c r="D114" s="30"/>
      <c r="E114" s="30"/>
    </row>
    <row r="115" ht="14.25" customHeight="1">
      <c r="A115" s="30"/>
      <c r="B115" s="30"/>
      <c r="C115" s="30"/>
      <c r="D115" s="30"/>
      <c r="E115" s="30"/>
    </row>
    <row r="116" ht="14.25" customHeight="1">
      <c r="A116" s="30"/>
      <c r="B116" s="30"/>
      <c r="C116" s="30"/>
      <c r="D116" s="30"/>
      <c r="E116" s="30"/>
    </row>
    <row r="117" ht="14.25" customHeight="1">
      <c r="A117" s="30"/>
      <c r="B117" s="30"/>
      <c r="C117" s="30"/>
      <c r="D117" s="30"/>
      <c r="E117" s="30"/>
    </row>
    <row r="118" ht="14.25" customHeight="1">
      <c r="A118" s="30"/>
      <c r="B118" s="30"/>
      <c r="C118" s="30"/>
      <c r="D118" s="30"/>
      <c r="E118" s="30"/>
    </row>
    <row r="119" ht="14.25" customHeight="1">
      <c r="A119" s="30"/>
      <c r="B119" s="30"/>
      <c r="C119" s="30"/>
      <c r="D119" s="30"/>
      <c r="E119" s="30"/>
    </row>
    <row r="120" ht="14.25" customHeight="1">
      <c r="A120" s="30"/>
      <c r="B120" s="30"/>
      <c r="C120" s="30"/>
      <c r="D120" s="30"/>
      <c r="E120" s="30"/>
    </row>
    <row r="121" ht="14.25" customHeight="1">
      <c r="A121" s="30"/>
      <c r="B121" s="30"/>
      <c r="C121" s="30"/>
      <c r="D121" s="30"/>
      <c r="E121" s="30"/>
    </row>
    <row r="122" ht="14.25" customHeight="1">
      <c r="A122" s="30"/>
      <c r="B122" s="30"/>
      <c r="C122" s="30"/>
      <c r="D122" s="30"/>
      <c r="E122" s="30"/>
    </row>
    <row r="123" ht="14.25" customHeight="1">
      <c r="A123" s="30"/>
      <c r="B123" s="30"/>
      <c r="C123" s="30"/>
      <c r="D123" s="30"/>
      <c r="E123" s="30"/>
    </row>
    <row r="124" ht="14.25" customHeight="1">
      <c r="A124" s="30"/>
      <c r="B124" s="30"/>
      <c r="C124" s="30"/>
      <c r="D124" s="30"/>
      <c r="E124" s="30"/>
    </row>
    <row r="125" ht="14.25" customHeight="1">
      <c r="A125" s="30"/>
      <c r="B125" s="30"/>
      <c r="C125" s="30"/>
      <c r="D125" s="30"/>
      <c r="E125" s="30"/>
    </row>
    <row r="126" ht="14.25" customHeight="1">
      <c r="A126" s="30"/>
      <c r="B126" s="30"/>
      <c r="C126" s="30"/>
      <c r="D126" s="30"/>
      <c r="E126" s="30"/>
    </row>
    <row r="127" ht="14.25" customHeight="1">
      <c r="A127" s="30"/>
      <c r="B127" s="30"/>
      <c r="C127" s="30"/>
      <c r="D127" s="30"/>
      <c r="E127" s="30"/>
    </row>
    <row r="128" ht="14.25" customHeight="1">
      <c r="A128" s="30"/>
      <c r="B128" s="30"/>
      <c r="C128" s="30"/>
      <c r="D128" s="30"/>
      <c r="E128" s="30"/>
    </row>
    <row r="129" ht="14.25" customHeight="1">
      <c r="A129" s="30"/>
      <c r="B129" s="30"/>
      <c r="C129" s="30"/>
      <c r="D129" s="30"/>
      <c r="E129" s="30"/>
    </row>
    <row r="130" ht="14.25" customHeight="1">
      <c r="A130" s="30"/>
      <c r="B130" s="30"/>
      <c r="C130" s="30"/>
      <c r="D130" s="30"/>
      <c r="E130" s="30"/>
    </row>
    <row r="131" ht="14.25" customHeight="1">
      <c r="A131" s="30"/>
      <c r="B131" s="30"/>
      <c r="C131" s="30"/>
      <c r="D131" s="30"/>
      <c r="E131" s="30"/>
    </row>
    <row r="132" ht="14.25" customHeight="1">
      <c r="A132" s="30"/>
      <c r="B132" s="30"/>
      <c r="C132" s="30"/>
      <c r="D132" s="30"/>
      <c r="E132" s="30"/>
    </row>
    <row r="133" ht="14.25" customHeight="1">
      <c r="A133" s="30"/>
      <c r="B133" s="30"/>
      <c r="C133" s="30"/>
      <c r="D133" s="30"/>
      <c r="E133" s="30"/>
    </row>
    <row r="134" ht="14.25" customHeight="1">
      <c r="A134" s="30"/>
      <c r="B134" s="30"/>
      <c r="C134" s="30"/>
      <c r="D134" s="30"/>
      <c r="E134" s="30"/>
    </row>
    <row r="135" ht="14.25" customHeight="1">
      <c r="A135" s="30"/>
      <c r="B135" s="30"/>
      <c r="C135" s="30"/>
      <c r="D135" s="30"/>
      <c r="E135" s="30"/>
    </row>
    <row r="136" ht="14.25" customHeight="1">
      <c r="A136" s="30"/>
      <c r="B136" s="30"/>
      <c r="C136" s="30"/>
      <c r="D136" s="30"/>
      <c r="E136" s="30"/>
    </row>
    <row r="137" ht="14.25" customHeight="1">
      <c r="A137" s="30"/>
      <c r="B137" s="30"/>
      <c r="C137" s="30"/>
      <c r="D137" s="30"/>
      <c r="E137" s="30"/>
    </row>
    <row r="138" ht="14.25" customHeight="1">
      <c r="A138" s="30"/>
      <c r="B138" s="30"/>
      <c r="C138" s="30"/>
      <c r="D138" s="30"/>
      <c r="E138" s="30"/>
    </row>
    <row r="139" ht="14.25" customHeight="1">
      <c r="A139" s="30"/>
      <c r="B139" s="30"/>
      <c r="C139" s="30"/>
      <c r="D139" s="30"/>
      <c r="E139" s="30"/>
    </row>
    <row r="140" ht="14.25" customHeight="1">
      <c r="A140" s="30"/>
      <c r="B140" s="30"/>
      <c r="C140" s="30"/>
      <c r="D140" s="30"/>
      <c r="E140" s="30"/>
    </row>
    <row r="141" ht="14.25" customHeight="1">
      <c r="A141" s="30"/>
      <c r="B141" s="30"/>
      <c r="C141" s="30"/>
      <c r="D141" s="30"/>
      <c r="E141" s="30"/>
    </row>
    <row r="142" ht="14.25" customHeight="1">
      <c r="A142" s="30"/>
      <c r="B142" s="30"/>
      <c r="C142" s="30"/>
      <c r="D142" s="30"/>
      <c r="E142" s="30"/>
    </row>
    <row r="143" ht="14.25" customHeight="1">
      <c r="A143" s="30"/>
      <c r="B143" s="30"/>
      <c r="C143" s="30"/>
      <c r="D143" s="30"/>
      <c r="E143" s="30"/>
    </row>
    <row r="144" ht="14.25" customHeight="1">
      <c r="A144" s="30"/>
      <c r="B144" s="30"/>
      <c r="C144" s="30"/>
      <c r="D144" s="30"/>
      <c r="E144" s="30"/>
    </row>
    <row r="145" ht="14.25" customHeight="1">
      <c r="A145" s="30"/>
      <c r="B145" s="30"/>
      <c r="C145" s="30"/>
      <c r="D145" s="30"/>
      <c r="E145" s="30"/>
    </row>
    <row r="146" ht="14.25" customHeight="1">
      <c r="A146" s="30"/>
      <c r="B146" s="30"/>
      <c r="C146" s="30"/>
      <c r="D146" s="30"/>
      <c r="E146" s="30"/>
    </row>
    <row r="147" ht="14.25" customHeight="1">
      <c r="A147" s="30"/>
      <c r="B147" s="30"/>
      <c r="C147" s="30"/>
      <c r="D147" s="30"/>
      <c r="E147" s="30"/>
    </row>
    <row r="148" ht="14.25" customHeight="1">
      <c r="A148" s="30"/>
      <c r="B148" s="30"/>
      <c r="C148" s="30"/>
      <c r="D148" s="30"/>
      <c r="E148" s="30"/>
    </row>
    <row r="149" ht="14.25" customHeight="1">
      <c r="A149" s="30"/>
      <c r="B149" s="30"/>
      <c r="C149" s="30"/>
      <c r="D149" s="30"/>
      <c r="E149" s="30"/>
    </row>
    <row r="150" ht="14.25" customHeight="1">
      <c r="A150" s="30"/>
      <c r="B150" s="30"/>
      <c r="C150" s="30"/>
      <c r="D150" s="30"/>
      <c r="E150" s="30"/>
    </row>
    <row r="151" ht="14.25" customHeight="1">
      <c r="A151" s="30"/>
      <c r="B151" s="30"/>
      <c r="C151" s="30"/>
      <c r="D151" s="30"/>
      <c r="E151" s="30"/>
    </row>
    <row r="152" ht="14.25" customHeight="1">
      <c r="A152" s="30"/>
      <c r="B152" s="30"/>
      <c r="C152" s="30"/>
      <c r="D152" s="30"/>
      <c r="E152" s="30"/>
    </row>
    <row r="153" ht="14.25" customHeight="1">
      <c r="A153" s="30"/>
      <c r="B153" s="30"/>
      <c r="C153" s="30"/>
      <c r="D153" s="30"/>
      <c r="E153" s="30"/>
    </row>
    <row r="154" ht="14.25" customHeight="1">
      <c r="A154" s="30"/>
      <c r="B154" s="30"/>
      <c r="C154" s="30"/>
      <c r="D154" s="30"/>
      <c r="E154" s="30"/>
    </row>
    <row r="155" ht="14.25" customHeight="1">
      <c r="A155" s="30"/>
      <c r="B155" s="30"/>
      <c r="C155" s="30"/>
      <c r="D155" s="30"/>
      <c r="E155" s="30"/>
    </row>
    <row r="156" ht="14.25" customHeight="1">
      <c r="A156" s="30"/>
      <c r="B156" s="30"/>
      <c r="C156" s="30"/>
      <c r="D156" s="30"/>
      <c r="E156" s="30"/>
    </row>
    <row r="157" ht="14.25" customHeight="1">
      <c r="A157" s="30"/>
      <c r="B157" s="30"/>
      <c r="C157" s="30"/>
      <c r="D157" s="30"/>
      <c r="E157" s="30"/>
    </row>
    <row r="158" ht="14.25" customHeight="1">
      <c r="A158" s="30"/>
      <c r="B158" s="30"/>
      <c r="C158" s="30"/>
      <c r="D158" s="30"/>
      <c r="E158" s="30"/>
    </row>
    <row r="159" ht="14.25" customHeight="1">
      <c r="A159" s="30"/>
      <c r="B159" s="30"/>
      <c r="C159" s="30"/>
      <c r="D159" s="30"/>
      <c r="E159" s="30"/>
    </row>
    <row r="160" ht="14.25" customHeight="1">
      <c r="A160" s="30"/>
      <c r="B160" s="30"/>
      <c r="C160" s="30"/>
      <c r="D160" s="30"/>
      <c r="E160" s="30"/>
    </row>
    <row r="161" ht="14.25" customHeight="1">
      <c r="A161" s="30"/>
      <c r="B161" s="30"/>
      <c r="C161" s="30"/>
      <c r="D161" s="30"/>
      <c r="E161" s="30"/>
    </row>
    <row r="162" ht="14.25" customHeight="1">
      <c r="A162" s="30"/>
      <c r="B162" s="30"/>
      <c r="C162" s="30"/>
      <c r="D162" s="30"/>
      <c r="E162" s="30"/>
    </row>
    <row r="163" ht="14.25" customHeight="1">
      <c r="A163" s="30"/>
      <c r="B163" s="30"/>
      <c r="C163" s="30"/>
      <c r="D163" s="30"/>
      <c r="E163" s="30"/>
    </row>
    <row r="164" ht="14.25" customHeight="1">
      <c r="A164" s="30"/>
      <c r="B164" s="30"/>
      <c r="C164" s="30"/>
      <c r="D164" s="30"/>
      <c r="E164" s="30"/>
    </row>
    <row r="165" ht="14.25" customHeight="1">
      <c r="A165" s="30"/>
      <c r="B165" s="30"/>
      <c r="C165" s="30"/>
      <c r="D165" s="30"/>
      <c r="E165" s="30"/>
    </row>
    <row r="166" ht="14.25" customHeight="1">
      <c r="A166" s="30"/>
      <c r="B166" s="30"/>
      <c r="C166" s="30"/>
      <c r="D166" s="30"/>
      <c r="E166" s="30"/>
    </row>
    <row r="167" ht="14.25" customHeight="1">
      <c r="A167" s="30"/>
      <c r="B167" s="30"/>
      <c r="C167" s="30"/>
      <c r="D167" s="30"/>
      <c r="E167" s="30"/>
    </row>
    <row r="168" ht="14.25" customHeight="1">
      <c r="A168" s="30"/>
      <c r="B168" s="30"/>
      <c r="C168" s="30"/>
      <c r="D168" s="30"/>
      <c r="E168" s="30"/>
    </row>
    <row r="169" ht="14.25" customHeight="1">
      <c r="A169" s="30"/>
      <c r="B169" s="30"/>
      <c r="C169" s="30"/>
      <c r="D169" s="30"/>
      <c r="E169" s="30"/>
    </row>
    <row r="170" ht="14.25" customHeight="1">
      <c r="A170" s="30"/>
      <c r="B170" s="30"/>
      <c r="C170" s="30"/>
      <c r="D170" s="30"/>
      <c r="E170" s="30"/>
    </row>
    <row r="171" ht="14.25" customHeight="1">
      <c r="A171" s="30"/>
      <c r="B171" s="30"/>
      <c r="C171" s="30"/>
      <c r="D171" s="30"/>
      <c r="E171" s="30"/>
    </row>
    <row r="172" ht="14.25" customHeight="1">
      <c r="A172" s="30"/>
      <c r="B172" s="30"/>
      <c r="C172" s="30"/>
      <c r="D172" s="30"/>
      <c r="E172" s="30"/>
    </row>
    <row r="173" ht="14.25" customHeight="1">
      <c r="A173" s="30"/>
      <c r="B173" s="30"/>
      <c r="C173" s="30"/>
      <c r="D173" s="30"/>
      <c r="E173" s="30"/>
    </row>
    <row r="174" ht="14.25" customHeight="1">
      <c r="A174" s="30"/>
      <c r="B174" s="30"/>
      <c r="C174" s="30"/>
      <c r="D174" s="30"/>
      <c r="E174" s="30"/>
    </row>
    <row r="175" ht="14.25" customHeight="1">
      <c r="A175" s="30"/>
      <c r="B175" s="30"/>
      <c r="C175" s="30"/>
      <c r="D175" s="30"/>
      <c r="E175" s="30"/>
    </row>
    <row r="176" ht="14.25" customHeight="1">
      <c r="A176" s="30"/>
      <c r="B176" s="30"/>
      <c r="C176" s="30"/>
      <c r="D176" s="30"/>
      <c r="E176" s="30"/>
    </row>
    <row r="177" ht="14.25" customHeight="1">
      <c r="A177" s="30"/>
      <c r="B177" s="30"/>
      <c r="C177" s="30"/>
      <c r="D177" s="30"/>
      <c r="E177" s="30"/>
    </row>
    <row r="178" ht="14.25" customHeight="1">
      <c r="A178" s="30"/>
      <c r="B178" s="30"/>
      <c r="C178" s="30"/>
      <c r="D178" s="30"/>
      <c r="E178" s="30"/>
    </row>
    <row r="179" ht="14.25" customHeight="1">
      <c r="A179" s="30"/>
      <c r="B179" s="30"/>
      <c r="C179" s="30"/>
      <c r="D179" s="30"/>
      <c r="E179" s="30"/>
    </row>
    <row r="180" ht="14.25" customHeight="1">
      <c r="A180" s="30"/>
      <c r="B180" s="30"/>
      <c r="C180" s="30"/>
      <c r="D180" s="30"/>
      <c r="E180" s="30"/>
    </row>
    <row r="181" ht="14.25" customHeight="1">
      <c r="A181" s="30"/>
      <c r="B181" s="30"/>
      <c r="C181" s="30"/>
      <c r="D181" s="30"/>
      <c r="E181" s="30"/>
    </row>
    <row r="182" ht="14.25" customHeight="1">
      <c r="A182" s="30"/>
      <c r="B182" s="30"/>
      <c r="C182" s="30"/>
      <c r="D182" s="30"/>
      <c r="E182" s="30"/>
    </row>
    <row r="183" ht="14.25" customHeight="1">
      <c r="A183" s="30"/>
      <c r="B183" s="30"/>
      <c r="C183" s="30"/>
      <c r="D183" s="30"/>
      <c r="E183" s="30"/>
    </row>
    <row r="184" ht="14.25" customHeight="1">
      <c r="A184" s="30"/>
      <c r="B184" s="30"/>
      <c r="C184" s="30"/>
      <c r="D184" s="30"/>
      <c r="E184" s="30"/>
    </row>
    <row r="185" ht="14.25" customHeight="1">
      <c r="A185" s="30"/>
      <c r="B185" s="30"/>
      <c r="C185" s="30"/>
      <c r="D185" s="30"/>
      <c r="E185" s="30"/>
    </row>
    <row r="186" ht="14.25" customHeight="1">
      <c r="A186" s="30"/>
      <c r="B186" s="30"/>
      <c r="C186" s="30"/>
      <c r="D186" s="30"/>
      <c r="E186" s="30"/>
    </row>
    <row r="187" ht="14.25" customHeight="1">
      <c r="A187" s="30"/>
      <c r="B187" s="30"/>
      <c r="C187" s="30"/>
      <c r="D187" s="30"/>
      <c r="E187" s="30"/>
    </row>
    <row r="188" ht="14.25" customHeight="1">
      <c r="A188" s="30"/>
      <c r="B188" s="30"/>
      <c r="C188" s="30"/>
      <c r="D188" s="30"/>
      <c r="E188" s="30"/>
    </row>
    <row r="189" ht="14.25" customHeight="1">
      <c r="A189" s="30"/>
      <c r="B189" s="30"/>
      <c r="C189" s="30"/>
      <c r="D189" s="30"/>
      <c r="E189" s="30"/>
    </row>
    <row r="190" ht="14.25" customHeight="1">
      <c r="A190" s="30"/>
      <c r="B190" s="30"/>
      <c r="C190" s="30"/>
      <c r="D190" s="30"/>
      <c r="E190" s="30"/>
    </row>
    <row r="191" ht="14.25" customHeight="1">
      <c r="A191" s="30"/>
      <c r="B191" s="30"/>
      <c r="C191" s="30"/>
      <c r="D191" s="30"/>
      <c r="E191" s="30"/>
    </row>
    <row r="192" ht="14.25" customHeight="1">
      <c r="A192" s="30"/>
      <c r="B192" s="30"/>
      <c r="C192" s="30"/>
      <c r="D192" s="30"/>
      <c r="E192" s="30"/>
    </row>
    <row r="193" ht="14.25" customHeight="1">
      <c r="A193" s="30"/>
      <c r="B193" s="30"/>
      <c r="C193" s="30"/>
      <c r="D193" s="30"/>
      <c r="E193" s="30"/>
    </row>
    <row r="194" ht="14.25" customHeight="1">
      <c r="A194" s="30"/>
      <c r="B194" s="30"/>
      <c r="C194" s="30"/>
      <c r="D194" s="30"/>
      <c r="E194" s="30"/>
    </row>
    <row r="195" ht="14.25" customHeight="1">
      <c r="A195" s="30"/>
      <c r="B195" s="30"/>
      <c r="C195" s="30"/>
      <c r="D195" s="30"/>
      <c r="E195" s="30"/>
    </row>
    <row r="196" ht="14.25" customHeight="1">
      <c r="A196" s="30"/>
      <c r="B196" s="30"/>
      <c r="C196" s="30"/>
      <c r="D196" s="30"/>
      <c r="E196" s="30"/>
    </row>
    <row r="197" ht="14.25" customHeight="1">
      <c r="A197" s="30"/>
      <c r="B197" s="30"/>
      <c r="C197" s="30"/>
      <c r="D197" s="30"/>
      <c r="E197" s="30"/>
    </row>
    <row r="198" ht="14.25" customHeight="1">
      <c r="A198" s="30"/>
      <c r="B198" s="30"/>
      <c r="C198" s="30"/>
      <c r="D198" s="30"/>
      <c r="E198" s="30"/>
    </row>
    <row r="199" ht="14.25" customHeight="1">
      <c r="A199" s="30"/>
      <c r="B199" s="30"/>
      <c r="C199" s="30"/>
      <c r="D199" s="30"/>
      <c r="E199" s="30"/>
    </row>
    <row r="200" ht="14.25" customHeight="1">
      <c r="A200" s="30"/>
      <c r="B200" s="30"/>
      <c r="C200" s="30"/>
      <c r="D200" s="30"/>
      <c r="E200" s="30"/>
    </row>
    <row r="201" ht="14.25" customHeight="1">
      <c r="A201" s="30"/>
      <c r="B201" s="30"/>
      <c r="C201" s="30"/>
      <c r="D201" s="30"/>
      <c r="E201" s="30"/>
    </row>
    <row r="202" ht="14.25" customHeight="1">
      <c r="A202" s="30"/>
      <c r="B202" s="30"/>
      <c r="C202" s="30"/>
      <c r="D202" s="30"/>
      <c r="E202" s="30"/>
    </row>
    <row r="203" ht="14.25" customHeight="1">
      <c r="A203" s="30"/>
      <c r="B203" s="30"/>
      <c r="C203" s="30"/>
      <c r="D203" s="30"/>
      <c r="E203" s="30"/>
    </row>
    <row r="204" ht="14.25" customHeight="1">
      <c r="A204" s="30"/>
      <c r="B204" s="30"/>
      <c r="C204" s="30"/>
      <c r="D204" s="30"/>
      <c r="E204" s="30"/>
    </row>
    <row r="205" ht="14.25" customHeight="1">
      <c r="A205" s="30"/>
      <c r="B205" s="30"/>
      <c r="C205" s="30"/>
      <c r="D205" s="30"/>
      <c r="E205" s="30"/>
    </row>
    <row r="206" ht="14.25" customHeight="1">
      <c r="A206" s="30"/>
      <c r="B206" s="30"/>
      <c r="C206" s="30"/>
      <c r="D206" s="30"/>
      <c r="E206" s="30"/>
    </row>
    <row r="207" ht="14.25" customHeight="1">
      <c r="A207" s="30"/>
      <c r="B207" s="30"/>
      <c r="C207" s="30"/>
      <c r="D207" s="30"/>
      <c r="E207" s="30"/>
    </row>
    <row r="208" ht="14.25" customHeight="1">
      <c r="A208" s="30"/>
      <c r="B208" s="30"/>
      <c r="C208" s="30"/>
      <c r="D208" s="30"/>
      <c r="E208" s="30"/>
    </row>
    <row r="209" ht="14.25" customHeight="1">
      <c r="A209" s="30"/>
      <c r="B209" s="30"/>
      <c r="C209" s="30"/>
      <c r="D209" s="30"/>
      <c r="E209" s="30"/>
    </row>
    <row r="210" ht="14.25" customHeight="1">
      <c r="A210" s="30"/>
      <c r="B210" s="30"/>
      <c r="C210" s="30"/>
      <c r="D210" s="30"/>
      <c r="E210" s="30"/>
    </row>
    <row r="211" ht="14.25" customHeight="1">
      <c r="A211" s="30"/>
      <c r="B211" s="30"/>
      <c r="C211" s="30"/>
      <c r="D211" s="30"/>
      <c r="E211" s="30"/>
    </row>
    <row r="212" ht="14.25" customHeight="1">
      <c r="A212" s="30"/>
      <c r="B212" s="30"/>
      <c r="C212" s="30"/>
      <c r="D212" s="30"/>
      <c r="E212" s="30"/>
    </row>
    <row r="213" ht="14.25" customHeight="1">
      <c r="A213" s="30"/>
      <c r="B213" s="30"/>
      <c r="C213" s="30"/>
      <c r="D213" s="30"/>
      <c r="E213" s="30"/>
    </row>
    <row r="214" ht="14.25" customHeight="1">
      <c r="A214" s="30"/>
      <c r="B214" s="30"/>
      <c r="C214" s="30"/>
      <c r="D214" s="30"/>
      <c r="E214" s="30"/>
    </row>
    <row r="215" ht="14.25" customHeight="1">
      <c r="A215" s="30"/>
      <c r="B215" s="30"/>
      <c r="C215" s="30"/>
      <c r="D215" s="30"/>
      <c r="E215" s="30"/>
    </row>
    <row r="216" ht="14.25" customHeight="1">
      <c r="A216" s="30"/>
      <c r="B216" s="30"/>
      <c r="C216" s="30"/>
      <c r="D216" s="30"/>
      <c r="E216" s="30"/>
    </row>
    <row r="217" ht="14.25" customHeight="1">
      <c r="A217" s="30"/>
      <c r="B217" s="30"/>
      <c r="C217" s="30"/>
      <c r="D217" s="30"/>
      <c r="E217" s="30"/>
    </row>
    <row r="218" ht="14.25" customHeight="1">
      <c r="A218" s="30"/>
      <c r="B218" s="30"/>
      <c r="C218" s="30"/>
      <c r="D218" s="30"/>
      <c r="E218" s="30"/>
    </row>
    <row r="219" ht="14.25" customHeight="1">
      <c r="A219" s="30"/>
      <c r="B219" s="30"/>
      <c r="C219" s="30"/>
      <c r="D219" s="30"/>
      <c r="E219" s="30"/>
    </row>
    <row r="220" ht="14.25" customHeight="1">
      <c r="A220" s="30"/>
      <c r="B220" s="30"/>
      <c r="C220" s="30"/>
      <c r="D220" s="30"/>
      <c r="E220" s="3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2.88"/>
    <col customWidth="1" min="2" max="26" width="14.38"/>
  </cols>
  <sheetData>
    <row r="1" ht="13.5" customHeight="1">
      <c r="A1" s="30" t="s">
        <v>404</v>
      </c>
    </row>
    <row r="2" ht="13.5" customHeight="1">
      <c r="A2" s="30" t="s">
        <v>405</v>
      </c>
    </row>
    <row r="3" ht="13.5" customHeight="1">
      <c r="A3" s="30" t="s">
        <v>406</v>
      </c>
    </row>
    <row r="4" ht="13.5" customHeight="1">
      <c r="A4" s="30" t="s">
        <v>407</v>
      </c>
    </row>
    <row r="5" ht="13.5" customHeight="1">
      <c r="A5" s="230" t="s">
        <v>408</v>
      </c>
    </row>
    <row r="6" ht="13.5" customHeight="1">
      <c r="A6" s="30" t="s">
        <v>409</v>
      </c>
    </row>
    <row r="7" ht="13.5" customHeight="1">
      <c r="A7" s="30" t="s">
        <v>410</v>
      </c>
    </row>
    <row r="8" ht="13.5" customHeight="1">
      <c r="A8" s="30" t="s">
        <v>411</v>
      </c>
    </row>
    <row r="9" ht="13.5" customHeight="1">
      <c r="A9" s="30" t="s">
        <v>412</v>
      </c>
    </row>
    <row r="10" ht="13.5" customHeight="1">
      <c r="A10" s="30" t="s">
        <v>413</v>
      </c>
    </row>
    <row r="11" ht="13.5" customHeight="1">
      <c r="A11" s="30" t="s">
        <v>414</v>
      </c>
    </row>
    <row r="12" ht="13.5" customHeight="1">
      <c r="A12" s="230" t="s">
        <v>415</v>
      </c>
    </row>
    <row r="13" ht="13.5" customHeight="1">
      <c r="A13" s="30" t="s">
        <v>416</v>
      </c>
    </row>
    <row r="14" ht="13.5" customHeight="1">
      <c r="A14" s="30" t="s">
        <v>417</v>
      </c>
    </row>
    <row r="15" ht="13.5" customHeight="1">
      <c r="A15" s="30"/>
    </row>
    <row r="16" ht="13.5" customHeight="1">
      <c r="A16" s="66" t="s">
        <v>418</v>
      </c>
    </row>
    <row r="17" ht="13.5" customHeight="1">
      <c r="A17" s="30" t="s">
        <v>419</v>
      </c>
    </row>
    <row r="18" ht="13.5" customHeight="1">
      <c r="A18" s="30" t="s">
        <v>420</v>
      </c>
    </row>
    <row r="19" ht="13.5" customHeight="1">
      <c r="A19" s="30" t="s">
        <v>421</v>
      </c>
    </row>
    <row r="20" ht="13.5" customHeight="1">
      <c r="A20" s="30" t="s">
        <v>422</v>
      </c>
    </row>
    <row r="21" ht="13.5" customHeight="1">
      <c r="A21" s="30" t="s">
        <v>423</v>
      </c>
    </row>
    <row r="22" ht="13.5" customHeight="1">
      <c r="A22" s="30" t="s">
        <v>424</v>
      </c>
    </row>
    <row r="23" ht="13.5" customHeight="1">
      <c r="A23" s="30"/>
    </row>
    <row r="24" ht="13.5" customHeight="1">
      <c r="A24" s="230" t="s">
        <v>425</v>
      </c>
    </row>
    <row r="25" ht="13.5" customHeight="1">
      <c r="A25" s="30" t="s">
        <v>426</v>
      </c>
    </row>
    <row r="26" ht="13.5" customHeight="1">
      <c r="A26" s="30" t="s">
        <v>427</v>
      </c>
    </row>
    <row r="27" ht="13.5" customHeight="1">
      <c r="A27" s="30" t="s">
        <v>428</v>
      </c>
    </row>
    <row r="28" ht="13.5" customHeight="1">
      <c r="A28" s="30" t="s">
        <v>429</v>
      </c>
    </row>
    <row r="29" ht="13.5" customHeight="1">
      <c r="A29" s="30" t="s">
        <v>430</v>
      </c>
    </row>
    <row r="30" ht="13.5" customHeight="1">
      <c r="A30" s="30" t="s">
        <v>431</v>
      </c>
    </row>
    <row r="31" ht="13.5" customHeight="1">
      <c r="A31" s="30"/>
    </row>
    <row r="32" ht="13.5" customHeight="1">
      <c r="A32" s="230" t="s">
        <v>432</v>
      </c>
    </row>
    <row r="33" ht="13.5" customHeight="1">
      <c r="A33" s="30" t="s">
        <v>433</v>
      </c>
    </row>
    <row r="34" ht="13.5" customHeight="1">
      <c r="A34" s="30" t="s">
        <v>434</v>
      </c>
    </row>
    <row r="35" ht="13.5" customHeight="1">
      <c r="A35" s="30" t="s">
        <v>435</v>
      </c>
    </row>
    <row r="36" ht="13.5" customHeight="1">
      <c r="A36" s="30" t="s">
        <v>436</v>
      </c>
    </row>
    <row r="37" ht="13.5" customHeight="1">
      <c r="A37" s="30" t="s">
        <v>437</v>
      </c>
    </row>
    <row r="38" ht="13.5" customHeight="1">
      <c r="A38" s="30" t="s">
        <v>438</v>
      </c>
    </row>
    <row r="39" ht="13.5" customHeight="1">
      <c r="A39" s="30" t="s">
        <v>439</v>
      </c>
    </row>
    <row r="40" ht="13.5" customHeight="1">
      <c r="A40" s="30" t="s">
        <v>440</v>
      </c>
    </row>
    <row r="41" ht="13.5" customHeight="1">
      <c r="A41" s="30" t="s">
        <v>441</v>
      </c>
    </row>
    <row r="42" ht="13.5" customHeight="1">
      <c r="A42" s="30" t="s">
        <v>442</v>
      </c>
    </row>
    <row r="43" ht="13.5" customHeight="1">
      <c r="A43" s="30" t="s">
        <v>443</v>
      </c>
    </row>
    <row r="44" ht="13.5" customHeight="1">
      <c r="A44" s="30" t="s">
        <v>444</v>
      </c>
    </row>
    <row r="45" ht="13.5" customHeight="1">
      <c r="A45" s="30" t="s">
        <v>445</v>
      </c>
    </row>
    <row r="46" ht="13.5" customHeight="1">
      <c r="A46" s="29" t="s">
        <v>446</v>
      </c>
    </row>
    <row r="47" ht="13.5" customHeight="1">
      <c r="A47" s="30"/>
    </row>
    <row r="48" ht="13.5" customHeight="1">
      <c r="A48" s="66" t="s">
        <v>447</v>
      </c>
    </row>
    <row r="49" ht="13.5" customHeight="1">
      <c r="A49" s="30" t="s">
        <v>448</v>
      </c>
    </row>
    <row r="50" ht="13.5" customHeight="1">
      <c r="A50" s="30" t="s">
        <v>449</v>
      </c>
    </row>
    <row r="51" ht="13.5" customHeight="1">
      <c r="A51" s="30" t="s">
        <v>450</v>
      </c>
    </row>
    <row r="52" ht="13.5" customHeight="1">
      <c r="A52" s="30" t="s">
        <v>451</v>
      </c>
    </row>
    <row r="53" ht="13.5" customHeight="1">
      <c r="A53" s="30" t="s">
        <v>452</v>
      </c>
    </row>
    <row r="54" ht="13.5" customHeight="1">
      <c r="A54" s="231"/>
    </row>
    <row r="55" ht="13.5" customHeight="1">
      <c r="A55" s="231"/>
    </row>
    <row r="56" ht="13.5" customHeight="1">
      <c r="A56" s="231"/>
    </row>
    <row r="57" ht="13.5" customHeight="1">
      <c r="A57" s="231"/>
    </row>
    <row r="58" ht="13.5" customHeight="1">
      <c r="A58" s="231"/>
    </row>
    <row r="59" ht="13.5" customHeight="1">
      <c r="A59" s="231"/>
    </row>
    <row r="60" ht="13.5" customHeight="1">
      <c r="A60" s="231"/>
    </row>
    <row r="61" ht="13.5" customHeight="1">
      <c r="A61" s="231"/>
    </row>
    <row r="62" ht="13.5" customHeight="1">
      <c r="A62" s="231"/>
    </row>
    <row r="63" ht="13.5" customHeight="1">
      <c r="A63" s="231"/>
    </row>
    <row r="64" ht="13.5" customHeight="1">
      <c r="A64" s="231"/>
    </row>
    <row r="65" ht="13.5" customHeight="1">
      <c r="A65" s="231"/>
    </row>
    <row r="66" ht="13.5" customHeight="1">
      <c r="A66" s="231"/>
    </row>
    <row r="67" ht="13.5" customHeight="1">
      <c r="A67" s="231"/>
    </row>
    <row r="68" ht="13.5" customHeight="1">
      <c r="A68" s="231"/>
    </row>
    <row r="69" ht="13.5" customHeight="1">
      <c r="A69" s="231"/>
    </row>
    <row r="70" ht="13.5" customHeight="1">
      <c r="A70" s="231"/>
    </row>
    <row r="71" ht="13.5" customHeight="1">
      <c r="A71" s="231"/>
    </row>
    <row r="72" ht="13.5" customHeight="1">
      <c r="A72" s="231"/>
    </row>
    <row r="73" ht="13.5" customHeight="1">
      <c r="A73" s="231"/>
    </row>
    <row r="74" ht="13.5" customHeight="1">
      <c r="A74" s="231"/>
    </row>
    <row r="75" ht="13.5" customHeight="1">
      <c r="A75" s="231"/>
    </row>
    <row r="76" ht="13.5" customHeight="1">
      <c r="A76" s="231"/>
    </row>
    <row r="77" ht="13.5" customHeight="1">
      <c r="A77" s="231"/>
    </row>
    <row r="78" ht="13.5" customHeight="1">
      <c r="A78" s="231"/>
    </row>
    <row r="79" ht="13.5" customHeight="1">
      <c r="A79" s="231"/>
    </row>
    <row r="80" ht="13.5" customHeight="1">
      <c r="A80" s="231"/>
    </row>
    <row r="81" ht="13.5" customHeight="1">
      <c r="A81" s="231"/>
    </row>
    <row r="82" ht="13.5" customHeight="1">
      <c r="A82" s="231"/>
    </row>
    <row r="83" ht="13.5" customHeight="1">
      <c r="A83" s="231"/>
    </row>
    <row r="84" ht="13.5" customHeight="1">
      <c r="A84" s="231"/>
    </row>
    <row r="85" ht="13.5" customHeight="1">
      <c r="A85" s="231"/>
    </row>
    <row r="86" ht="13.5" customHeight="1">
      <c r="A86" s="231"/>
    </row>
    <row r="87" ht="13.5" customHeight="1">
      <c r="A87" s="231"/>
    </row>
    <row r="88" ht="13.5" customHeight="1">
      <c r="A88" s="231"/>
    </row>
    <row r="89" ht="13.5" customHeight="1">
      <c r="A89" s="231"/>
    </row>
    <row r="90" ht="13.5" customHeight="1">
      <c r="A90" s="231"/>
    </row>
    <row r="91" ht="13.5" customHeight="1">
      <c r="A91" s="231"/>
    </row>
    <row r="92" ht="13.5" customHeight="1">
      <c r="A92" s="231"/>
    </row>
    <row r="93" ht="13.5" customHeight="1">
      <c r="A93" s="231"/>
    </row>
    <row r="94" ht="13.5" customHeight="1">
      <c r="A94" s="231"/>
    </row>
    <row r="95" ht="13.5" customHeight="1">
      <c r="A95" s="231"/>
    </row>
    <row r="96" ht="13.5" customHeight="1">
      <c r="A96" s="231"/>
    </row>
    <row r="97" ht="13.5" customHeight="1">
      <c r="A97" s="231"/>
    </row>
    <row r="98" ht="13.5" customHeight="1">
      <c r="A98" s="231"/>
    </row>
    <row r="99" ht="13.5" customHeight="1">
      <c r="A99" s="231"/>
    </row>
    <row r="100" ht="13.5" customHeight="1">
      <c r="A100" s="231"/>
    </row>
    <row r="101" ht="13.5" customHeight="1">
      <c r="A101" s="231"/>
    </row>
    <row r="102" ht="13.5" customHeight="1">
      <c r="A102" s="231"/>
    </row>
    <row r="103" ht="13.5" customHeight="1">
      <c r="A103" s="231"/>
    </row>
    <row r="104" ht="13.5" customHeight="1">
      <c r="A104" s="231"/>
    </row>
    <row r="105" ht="13.5" customHeight="1">
      <c r="A105" s="231"/>
    </row>
    <row r="106" ht="13.5" customHeight="1">
      <c r="A106" s="231"/>
    </row>
    <row r="107" ht="13.5" customHeight="1">
      <c r="A107" s="231"/>
    </row>
    <row r="108" ht="13.5" customHeight="1">
      <c r="A108" s="231"/>
    </row>
    <row r="109" ht="13.5" customHeight="1">
      <c r="A109" s="231"/>
    </row>
    <row r="110" ht="13.5" customHeight="1">
      <c r="A110" s="231"/>
    </row>
    <row r="111" ht="13.5" customHeight="1">
      <c r="A111" s="231"/>
    </row>
    <row r="112" ht="13.5" customHeight="1">
      <c r="A112" s="231"/>
    </row>
    <row r="113" ht="13.5" customHeight="1">
      <c r="A113" s="231"/>
    </row>
    <row r="114" ht="13.5" customHeight="1">
      <c r="A114" s="231"/>
    </row>
    <row r="115" ht="13.5" customHeight="1">
      <c r="A115" s="231"/>
    </row>
    <row r="116" ht="13.5" customHeight="1">
      <c r="A116" s="231"/>
    </row>
    <row r="117" ht="13.5" customHeight="1">
      <c r="A117" s="231"/>
    </row>
    <row r="118" ht="13.5" customHeight="1">
      <c r="A118" s="231"/>
    </row>
    <row r="119" ht="13.5" customHeight="1">
      <c r="A119" s="231"/>
    </row>
    <row r="120" ht="13.5" customHeight="1">
      <c r="A120" s="231"/>
    </row>
    <row r="121" ht="13.5" customHeight="1">
      <c r="A121" s="231"/>
    </row>
    <row r="122" ht="13.5" customHeight="1">
      <c r="A122" s="231"/>
    </row>
    <row r="123" ht="13.5" customHeight="1">
      <c r="A123" s="231"/>
    </row>
    <row r="124" ht="13.5" customHeight="1">
      <c r="A124" s="231"/>
    </row>
    <row r="125" ht="13.5" customHeight="1">
      <c r="A125" s="231"/>
    </row>
    <row r="126" ht="13.5" customHeight="1">
      <c r="A126" s="231"/>
    </row>
    <row r="127" ht="13.5" customHeight="1">
      <c r="A127" s="231"/>
    </row>
    <row r="128" ht="13.5" customHeight="1">
      <c r="A128" s="231"/>
    </row>
    <row r="129" ht="13.5" customHeight="1">
      <c r="A129" s="231"/>
    </row>
    <row r="130" ht="13.5" customHeight="1">
      <c r="A130" s="231"/>
    </row>
    <row r="131" ht="13.5" customHeight="1">
      <c r="A131" s="231"/>
    </row>
    <row r="132" ht="13.5" customHeight="1">
      <c r="A132" s="231"/>
    </row>
    <row r="133" ht="13.5" customHeight="1">
      <c r="A133" s="231"/>
    </row>
    <row r="134" ht="13.5" customHeight="1">
      <c r="A134" s="231"/>
    </row>
    <row r="135" ht="13.5" customHeight="1">
      <c r="A135" s="231"/>
    </row>
    <row r="136" ht="13.5" customHeight="1">
      <c r="A136" s="231"/>
    </row>
    <row r="137" ht="13.5" customHeight="1">
      <c r="A137" s="231"/>
    </row>
    <row r="138" ht="13.5" customHeight="1">
      <c r="A138" s="231"/>
    </row>
    <row r="139" ht="13.5" customHeight="1">
      <c r="A139" s="231"/>
    </row>
    <row r="140" ht="13.5" customHeight="1">
      <c r="A140" s="231"/>
    </row>
    <row r="141" ht="13.5" customHeight="1">
      <c r="A141" s="231"/>
    </row>
    <row r="142" ht="13.5" customHeight="1">
      <c r="A142" s="231"/>
    </row>
    <row r="143" ht="13.5" customHeight="1">
      <c r="A143" s="231"/>
    </row>
    <row r="144" ht="13.5" customHeight="1">
      <c r="A144" s="231"/>
    </row>
    <row r="145" ht="13.5" customHeight="1">
      <c r="A145" s="231"/>
    </row>
    <row r="146" ht="13.5" customHeight="1">
      <c r="A146" s="231"/>
    </row>
    <row r="147" ht="13.5" customHeight="1">
      <c r="A147" s="231"/>
    </row>
    <row r="148" ht="13.5" customHeight="1">
      <c r="A148" s="231"/>
    </row>
    <row r="149" ht="13.5" customHeight="1">
      <c r="A149" s="231"/>
    </row>
    <row r="150" ht="13.5" customHeight="1">
      <c r="A150" s="231"/>
    </row>
    <row r="151" ht="13.5" customHeight="1">
      <c r="A151" s="231"/>
    </row>
    <row r="152" ht="13.5" customHeight="1">
      <c r="A152" s="231"/>
    </row>
    <row r="153" ht="13.5" customHeight="1">
      <c r="A153" s="231"/>
    </row>
    <row r="154" ht="13.5" customHeight="1">
      <c r="A154" s="231"/>
    </row>
    <row r="155" ht="13.5" customHeight="1">
      <c r="A155" s="231"/>
    </row>
    <row r="156" ht="13.5" customHeight="1">
      <c r="A156" s="231"/>
    </row>
    <row r="157" ht="13.5" customHeight="1">
      <c r="A157" s="231"/>
    </row>
    <row r="158" ht="13.5" customHeight="1">
      <c r="A158" s="231"/>
    </row>
    <row r="159" ht="13.5" customHeight="1">
      <c r="A159" s="231"/>
    </row>
    <row r="160" ht="13.5" customHeight="1">
      <c r="A160" s="231"/>
    </row>
    <row r="161" ht="13.5" customHeight="1">
      <c r="A161" s="231"/>
    </row>
    <row r="162" ht="13.5" customHeight="1">
      <c r="A162" s="231"/>
    </row>
    <row r="163" ht="13.5" customHeight="1">
      <c r="A163" s="231"/>
    </row>
    <row r="164" ht="13.5" customHeight="1">
      <c r="A164" s="231"/>
    </row>
    <row r="165" ht="13.5" customHeight="1">
      <c r="A165" s="231"/>
    </row>
    <row r="166" ht="13.5" customHeight="1">
      <c r="A166" s="231"/>
    </row>
    <row r="167" ht="13.5" customHeight="1">
      <c r="A167" s="231"/>
    </row>
    <row r="168" ht="13.5" customHeight="1">
      <c r="A168" s="231"/>
    </row>
    <row r="169" ht="13.5" customHeight="1">
      <c r="A169" s="231"/>
    </row>
    <row r="170" ht="13.5" customHeight="1">
      <c r="A170" s="231"/>
    </row>
    <row r="171" ht="13.5" customHeight="1">
      <c r="A171" s="231"/>
    </row>
    <row r="172" ht="13.5" customHeight="1">
      <c r="A172" s="231"/>
    </row>
    <row r="173" ht="13.5" customHeight="1">
      <c r="A173" s="231"/>
    </row>
    <row r="174" ht="13.5" customHeight="1">
      <c r="A174" s="231"/>
    </row>
    <row r="175" ht="13.5" customHeight="1">
      <c r="A175" s="231"/>
    </row>
    <row r="176" ht="13.5" customHeight="1">
      <c r="A176" s="231"/>
    </row>
    <row r="177" ht="13.5" customHeight="1">
      <c r="A177" s="231"/>
    </row>
    <row r="178" ht="13.5" customHeight="1">
      <c r="A178" s="231"/>
    </row>
    <row r="179" ht="13.5" customHeight="1">
      <c r="A179" s="231"/>
    </row>
    <row r="180" ht="13.5" customHeight="1">
      <c r="A180" s="231"/>
    </row>
    <row r="181" ht="13.5" customHeight="1">
      <c r="A181" s="231"/>
    </row>
    <row r="182" ht="13.5" customHeight="1">
      <c r="A182" s="231"/>
    </row>
    <row r="183" ht="13.5" customHeight="1">
      <c r="A183" s="231"/>
    </row>
    <row r="184" ht="13.5" customHeight="1">
      <c r="A184" s="231"/>
    </row>
    <row r="185" ht="13.5" customHeight="1">
      <c r="A185" s="231"/>
    </row>
    <row r="186" ht="13.5" customHeight="1">
      <c r="A186" s="231"/>
    </row>
    <row r="187" ht="13.5" customHeight="1">
      <c r="A187" s="231"/>
    </row>
    <row r="188" ht="13.5" customHeight="1">
      <c r="A188" s="231"/>
    </row>
    <row r="189" ht="13.5" customHeight="1">
      <c r="A189" s="231"/>
    </row>
    <row r="190" ht="13.5" customHeight="1">
      <c r="A190" s="231"/>
    </row>
    <row r="191" ht="13.5" customHeight="1">
      <c r="A191" s="231"/>
    </row>
    <row r="192" ht="13.5" customHeight="1">
      <c r="A192" s="231"/>
    </row>
    <row r="193" ht="13.5" customHeight="1">
      <c r="A193" s="231"/>
    </row>
    <row r="194" ht="13.5" customHeight="1">
      <c r="A194" s="231"/>
    </row>
    <row r="195" ht="13.5" customHeight="1">
      <c r="A195" s="231"/>
    </row>
    <row r="196" ht="13.5" customHeight="1">
      <c r="A196" s="231"/>
    </row>
    <row r="197" ht="13.5" customHeight="1">
      <c r="A197" s="231"/>
    </row>
    <row r="198" ht="13.5" customHeight="1">
      <c r="A198" s="231"/>
    </row>
    <row r="199" ht="13.5" customHeight="1">
      <c r="A199" s="231"/>
    </row>
    <row r="200" ht="13.5" customHeight="1">
      <c r="A200" s="231"/>
    </row>
    <row r="201" ht="13.5" customHeight="1">
      <c r="A201" s="231"/>
    </row>
    <row r="202" ht="13.5" customHeight="1">
      <c r="A202" s="231"/>
    </row>
    <row r="203" ht="13.5" customHeight="1">
      <c r="A203" s="231"/>
    </row>
    <row r="204" ht="13.5" customHeight="1">
      <c r="A204" s="231"/>
    </row>
    <row r="205" ht="13.5" customHeight="1">
      <c r="A205" s="231"/>
    </row>
    <row r="206" ht="13.5" customHeight="1">
      <c r="A206" s="231"/>
    </row>
    <row r="207" ht="13.5" customHeight="1">
      <c r="A207" s="231"/>
    </row>
    <row r="208" ht="13.5" customHeight="1">
      <c r="A208" s="231"/>
    </row>
    <row r="209" ht="13.5" customHeight="1">
      <c r="A209" s="231"/>
    </row>
    <row r="210" ht="13.5" customHeight="1">
      <c r="A210" s="231"/>
    </row>
    <row r="211" ht="13.5" customHeight="1">
      <c r="A211" s="231"/>
    </row>
    <row r="212" ht="13.5" customHeight="1">
      <c r="A212" s="231"/>
    </row>
    <row r="213" ht="13.5" customHeight="1">
      <c r="A213" s="231"/>
    </row>
    <row r="214" ht="13.5" customHeight="1">
      <c r="A214" s="231"/>
    </row>
    <row r="215" ht="13.5" customHeight="1">
      <c r="A215" s="231"/>
    </row>
    <row r="216" ht="13.5" customHeight="1">
      <c r="A216" s="231"/>
    </row>
    <row r="217" ht="13.5" customHeight="1">
      <c r="A217" s="231"/>
    </row>
    <row r="218" ht="13.5" customHeight="1">
      <c r="A218" s="231"/>
    </row>
    <row r="219" ht="13.5" customHeight="1">
      <c r="A219" s="231"/>
    </row>
    <row r="220" ht="13.5" customHeight="1">
      <c r="A220" s="231"/>
    </row>
    <row r="221" ht="13.5" customHeight="1">
      <c r="A221" s="231"/>
    </row>
    <row r="222" ht="13.5" customHeight="1">
      <c r="A222" s="231"/>
    </row>
    <row r="223" ht="13.5" customHeight="1">
      <c r="A223" s="231"/>
    </row>
    <row r="224" ht="13.5" customHeight="1">
      <c r="A224" s="231"/>
    </row>
    <row r="225" ht="13.5" customHeight="1">
      <c r="A225" s="231"/>
    </row>
    <row r="226" ht="13.5" customHeight="1">
      <c r="A226" s="231"/>
    </row>
    <row r="227" ht="13.5" customHeight="1">
      <c r="A227" s="231"/>
    </row>
    <row r="228" ht="13.5" customHeight="1">
      <c r="A228" s="231"/>
    </row>
    <row r="229" ht="13.5" customHeight="1">
      <c r="A229" s="231"/>
    </row>
    <row r="230" ht="13.5" customHeight="1">
      <c r="A230" s="231"/>
    </row>
    <row r="231" ht="13.5" customHeight="1">
      <c r="A231" s="231"/>
    </row>
    <row r="232" ht="13.5" customHeight="1">
      <c r="A232" s="231"/>
    </row>
    <row r="233" ht="13.5" customHeight="1">
      <c r="A233" s="231"/>
    </row>
    <row r="234" ht="13.5" customHeight="1">
      <c r="A234" s="231"/>
    </row>
    <row r="235" ht="13.5" customHeight="1">
      <c r="A235" s="231"/>
    </row>
    <row r="236" ht="13.5" customHeight="1">
      <c r="A236" s="231"/>
    </row>
    <row r="237" ht="13.5" customHeight="1">
      <c r="A237" s="231"/>
    </row>
    <row r="238" ht="13.5" customHeight="1">
      <c r="A238" s="231"/>
    </row>
    <row r="239" ht="13.5" customHeight="1">
      <c r="A239" s="231"/>
    </row>
    <row r="240" ht="13.5" customHeight="1">
      <c r="A240" s="231"/>
    </row>
    <row r="241" ht="13.5" customHeight="1">
      <c r="A241" s="231"/>
    </row>
    <row r="242" ht="13.5" customHeight="1">
      <c r="A242" s="231"/>
    </row>
    <row r="243" ht="13.5" customHeight="1">
      <c r="A243" s="231"/>
    </row>
    <row r="244" ht="13.5" customHeight="1">
      <c r="A244" s="231"/>
    </row>
    <row r="245" ht="13.5" customHeight="1">
      <c r="A245" s="231"/>
    </row>
    <row r="246" ht="13.5" customHeight="1">
      <c r="A246" s="231"/>
    </row>
    <row r="247" ht="13.5" customHeight="1">
      <c r="A247" s="231"/>
    </row>
    <row r="248" ht="13.5" customHeight="1">
      <c r="A248" s="231"/>
    </row>
    <row r="249" ht="13.5" customHeight="1">
      <c r="A249" s="231"/>
    </row>
    <row r="250" ht="13.5" customHeight="1">
      <c r="A250" s="231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87401575" footer="0.0" header="0.0" left="0.7" right="0.7" top="0.7874015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2021-01-12T16:26:29Z</dcterms:created>
  <dc:creator>Ondřej Hotový</dc:creator>
</cp:coreProperties>
</file>